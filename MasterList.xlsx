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22ac361598db21/Desktop/Projects/EDR_Project/"/>
    </mc:Choice>
  </mc:AlternateContent>
  <xr:revisionPtr revIDLastSave="413" documentId="13_ncr:1_{0EAC749F-5F51-4B3F-9707-E91E37015A0D}" xr6:coauthVersionLast="47" xr6:coauthVersionMax="47" xr10:uidLastSave="{4DA495B3-C154-4415-9296-67C27334C09D}"/>
  <bookViews>
    <workbookView xWindow="-93" yWindow="-93" windowWidth="25786" windowHeight="13866" xr2:uid="{11B9C059-F0F9-4C91-BFFC-7CC045D2123E}"/>
  </bookViews>
  <sheets>
    <sheet name="Home" sheetId="1" r:id="rId1"/>
    <sheet name="SF EZ Balance" sheetId="4" r:id="rId2"/>
    <sheet name="Reorder Check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4" l="1"/>
  <c r="C103" i="4"/>
  <c r="C102" i="4"/>
  <c r="C98" i="4"/>
  <c r="C97" i="4"/>
  <c r="C96" i="4"/>
  <c r="C95" i="4"/>
  <c r="C94" i="4"/>
  <c r="C93" i="4"/>
  <c r="C92" i="4"/>
  <c r="C91" i="4"/>
  <c r="C90" i="4"/>
  <c r="C89" i="4"/>
  <c r="C88" i="4"/>
  <c r="C86" i="4"/>
  <c r="C85" i="4"/>
  <c r="C84" i="4"/>
  <c r="C83" i="4"/>
  <c r="C82" i="4"/>
  <c r="C81" i="4"/>
  <c r="D81" i="4" s="1"/>
  <c r="C80" i="4"/>
  <c r="D80" i="4" s="1"/>
  <c r="C79" i="4"/>
  <c r="D79" i="4" s="1"/>
  <c r="C78" i="4"/>
  <c r="C77" i="4"/>
  <c r="C76" i="4"/>
  <c r="C75" i="4"/>
  <c r="C74" i="4"/>
  <c r="C73" i="4"/>
  <c r="C72" i="4"/>
  <c r="C71" i="4"/>
  <c r="C70" i="4"/>
  <c r="C69" i="4"/>
  <c r="D69" i="4" s="1"/>
  <c r="C60" i="4"/>
  <c r="D60" i="4" s="1"/>
  <c r="C49" i="4"/>
  <c r="D49" i="4" s="1"/>
  <c r="C48" i="4"/>
  <c r="C28" i="4"/>
  <c r="C27" i="4"/>
  <c r="C26" i="4"/>
  <c r="C24" i="4"/>
  <c r="C23" i="4"/>
  <c r="C22" i="4"/>
  <c r="B104" i="4"/>
  <c r="B103" i="4"/>
  <c r="B102" i="4"/>
  <c r="B98" i="4"/>
  <c r="B97" i="4"/>
  <c r="B96" i="4"/>
  <c r="B95" i="4"/>
  <c r="B94" i="4"/>
  <c r="B93" i="4"/>
  <c r="B92" i="4"/>
  <c r="B91" i="4"/>
  <c r="B90" i="4"/>
  <c r="B89" i="4"/>
  <c r="B88" i="4"/>
  <c r="B86" i="4"/>
  <c r="B85" i="4"/>
  <c r="B84" i="4"/>
  <c r="B83" i="4"/>
  <c r="D83" i="4" s="1"/>
  <c r="B82" i="4"/>
  <c r="D82" i="4" s="1"/>
  <c r="B81" i="4"/>
  <c r="B80" i="4"/>
  <c r="B79" i="4"/>
  <c r="B78" i="4"/>
  <c r="B77" i="4"/>
  <c r="B76" i="4"/>
  <c r="B75" i="4"/>
  <c r="B74" i="4"/>
  <c r="B73" i="4"/>
  <c r="B72" i="4"/>
  <c r="B71" i="4"/>
  <c r="D71" i="4" s="1"/>
  <c r="B70" i="4"/>
  <c r="B69" i="4"/>
  <c r="B60" i="4"/>
  <c r="B49" i="4"/>
  <c r="B48" i="4"/>
  <c r="B28" i="4"/>
  <c r="B27" i="4"/>
  <c r="B26" i="4"/>
  <c r="D26" i="4" s="1"/>
  <c r="B24" i="4"/>
  <c r="B23" i="4"/>
  <c r="B2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5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50" i="4"/>
  <c r="D51" i="4"/>
  <c r="D52" i="4"/>
  <c r="D53" i="4"/>
  <c r="D54" i="4"/>
  <c r="D55" i="4"/>
  <c r="D56" i="4"/>
  <c r="D57" i="4"/>
  <c r="D58" i="4"/>
  <c r="D59" i="4"/>
  <c r="D61" i="4"/>
  <c r="D62" i="4"/>
  <c r="D63" i="4"/>
  <c r="D64" i="4"/>
  <c r="D65" i="4"/>
  <c r="D66" i="4"/>
  <c r="D67" i="4"/>
  <c r="D68" i="4"/>
  <c r="D87" i="4"/>
  <c r="D99" i="4"/>
  <c r="D100" i="4"/>
  <c r="D101" i="4"/>
  <c r="D105" i="4"/>
  <c r="D106" i="4"/>
  <c r="D107" i="4"/>
  <c r="D108" i="4"/>
  <c r="D109" i="4"/>
  <c r="D2" i="4"/>
  <c r="A110" i="4"/>
  <c r="C109" i="3"/>
  <c r="C108" i="3"/>
  <c r="C107" i="3"/>
  <c r="C106" i="3"/>
  <c r="C103" i="3"/>
  <c r="C102" i="3"/>
  <c r="C101" i="3"/>
  <c r="C100" i="3"/>
  <c r="C99" i="3"/>
  <c r="C98" i="3"/>
  <c r="C97" i="3"/>
  <c r="C96" i="3"/>
  <c r="C95" i="3"/>
  <c r="C94" i="3"/>
  <c r="C92" i="3"/>
  <c r="C91" i="3"/>
  <c r="C90" i="3"/>
  <c r="C88" i="3"/>
  <c r="C87" i="3"/>
  <c r="C85" i="3"/>
  <c r="C84" i="3"/>
  <c r="C83" i="3"/>
  <c r="C82" i="3"/>
  <c r="C81" i="3"/>
  <c r="C80" i="3"/>
  <c r="C78" i="3"/>
  <c r="C77" i="3"/>
  <c r="C76" i="3"/>
  <c r="C74" i="3"/>
  <c r="C73" i="3"/>
  <c r="C72" i="3"/>
  <c r="C70" i="3"/>
  <c r="C69" i="3"/>
  <c r="C68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6" i="3"/>
  <c r="C45" i="3"/>
  <c r="C44" i="3"/>
  <c r="C43" i="3"/>
  <c r="C42" i="3"/>
  <c r="C41" i="3"/>
  <c r="C40" i="3"/>
  <c r="C39" i="3"/>
  <c r="C36" i="3"/>
  <c r="C35" i="3"/>
  <c r="C34" i="3"/>
  <c r="C33" i="3"/>
  <c r="C32" i="3"/>
  <c r="C31" i="3"/>
  <c r="C29" i="3"/>
  <c r="C25" i="3"/>
  <c r="C24" i="3"/>
  <c r="C23" i="3"/>
  <c r="C22" i="3"/>
  <c r="C21" i="3"/>
  <c r="C20" i="3"/>
  <c r="C19" i="3"/>
  <c r="C16" i="3"/>
  <c r="C15" i="3"/>
  <c r="C13" i="3"/>
  <c r="C11" i="3"/>
  <c r="C8" i="3"/>
  <c r="C7" i="3"/>
  <c r="C4" i="3"/>
  <c r="C2" i="3"/>
  <c r="B109" i="3"/>
  <c r="B108" i="3"/>
  <c r="B107" i="3"/>
  <c r="B106" i="3"/>
  <c r="B103" i="3"/>
  <c r="B102" i="3"/>
  <c r="B101" i="3"/>
  <c r="B100" i="3"/>
  <c r="B99" i="3"/>
  <c r="B98" i="3"/>
  <c r="B97" i="3"/>
  <c r="B96" i="3"/>
  <c r="B95" i="3"/>
  <c r="B94" i="3"/>
  <c r="B92" i="3"/>
  <c r="B91" i="3"/>
  <c r="B90" i="3"/>
  <c r="B88" i="3"/>
  <c r="B87" i="3"/>
  <c r="B85" i="3"/>
  <c r="B84" i="3"/>
  <c r="B83" i="3"/>
  <c r="B82" i="3"/>
  <c r="B81" i="3"/>
  <c r="B80" i="3"/>
  <c r="B78" i="3"/>
  <c r="B77" i="3"/>
  <c r="B76" i="3"/>
  <c r="B74" i="3"/>
  <c r="B73" i="3"/>
  <c r="B72" i="3"/>
  <c r="B70" i="3"/>
  <c r="B69" i="3"/>
  <c r="B68" i="3"/>
  <c r="B66" i="3"/>
  <c r="B65" i="3"/>
  <c r="B64" i="3"/>
  <c r="B63" i="3"/>
  <c r="E63" i="3" s="1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6" i="3"/>
  <c r="B45" i="3"/>
  <c r="B44" i="3"/>
  <c r="B43" i="3"/>
  <c r="B42" i="3"/>
  <c r="B41" i="3"/>
  <c r="B40" i="3"/>
  <c r="B39" i="3"/>
  <c r="B36" i="3"/>
  <c r="B35" i="3"/>
  <c r="B34" i="3"/>
  <c r="B33" i="3"/>
  <c r="B32" i="3"/>
  <c r="B31" i="3"/>
  <c r="B29" i="3"/>
  <c r="B25" i="3"/>
  <c r="B24" i="3"/>
  <c r="B23" i="3"/>
  <c r="B22" i="3"/>
  <c r="B21" i="3"/>
  <c r="B20" i="3"/>
  <c r="B19" i="3"/>
  <c r="B16" i="3"/>
  <c r="B15" i="3"/>
  <c r="B13" i="3"/>
  <c r="B11" i="3"/>
  <c r="B8" i="3"/>
  <c r="B7" i="3"/>
  <c r="B4" i="3"/>
  <c r="B2" i="3"/>
  <c r="E3" i="3"/>
  <c r="E5" i="3"/>
  <c r="E6" i="3"/>
  <c r="E9" i="3"/>
  <c r="E10" i="3"/>
  <c r="E12" i="3"/>
  <c r="E14" i="3"/>
  <c r="E17" i="3"/>
  <c r="E18" i="3"/>
  <c r="E26" i="3"/>
  <c r="E27" i="3"/>
  <c r="E28" i="3"/>
  <c r="E30" i="3"/>
  <c r="E37" i="3"/>
  <c r="E38" i="3"/>
  <c r="E47" i="3"/>
  <c r="E67" i="3"/>
  <c r="E71" i="3"/>
  <c r="E75" i="3"/>
  <c r="E79" i="3"/>
  <c r="E86" i="3"/>
  <c r="E89" i="3"/>
  <c r="E93" i="3"/>
  <c r="E104" i="3"/>
  <c r="E105" i="3"/>
  <c r="E110" i="3"/>
  <c r="A110" i="3"/>
  <c r="A110" i="1"/>
  <c r="M110" i="1"/>
  <c r="D103" i="4" l="1"/>
  <c r="D48" i="4"/>
  <c r="D72" i="4"/>
  <c r="D98" i="4"/>
  <c r="D102" i="4"/>
  <c r="D27" i="4"/>
  <c r="D89" i="4"/>
  <c r="D104" i="4"/>
  <c r="D84" i="4"/>
  <c r="E49" i="3"/>
  <c r="E61" i="3"/>
  <c r="E76" i="3"/>
  <c r="E15" i="3"/>
  <c r="D97" i="4"/>
  <c r="E108" i="3"/>
  <c r="E52" i="3"/>
  <c r="D23" i="4"/>
  <c r="D73" i="4"/>
  <c r="D85" i="4"/>
  <c r="D22" i="4"/>
  <c r="D24" i="4"/>
  <c r="E39" i="3"/>
  <c r="E109" i="3"/>
  <c r="D28" i="4"/>
  <c r="E25" i="3"/>
  <c r="E77" i="3"/>
  <c r="D95" i="4"/>
  <c r="E64" i="3"/>
  <c r="E8" i="3"/>
  <c r="D90" i="4"/>
  <c r="E57" i="3"/>
  <c r="E13" i="3"/>
  <c r="E32" i="3"/>
  <c r="D74" i="4"/>
  <c r="D86" i="4"/>
  <c r="D70" i="4"/>
  <c r="D96" i="4"/>
  <c r="D93" i="4"/>
  <c r="E58" i="3"/>
  <c r="D94" i="4"/>
  <c r="D92" i="4"/>
  <c r="D88" i="4"/>
  <c r="D91" i="4"/>
  <c r="D76" i="4"/>
  <c r="D78" i="4"/>
  <c r="D75" i="4"/>
  <c r="D77" i="4"/>
  <c r="E87" i="3"/>
  <c r="E74" i="3"/>
  <c r="E35" i="3"/>
  <c r="E36" i="3"/>
  <c r="E51" i="3"/>
  <c r="E78" i="3"/>
  <c r="E103" i="3"/>
  <c r="E106" i="3"/>
  <c r="E107" i="3"/>
  <c r="E91" i="3"/>
  <c r="E88" i="3"/>
  <c r="E53" i="3"/>
  <c r="E4" i="3"/>
  <c r="E22" i="3"/>
  <c r="E54" i="3"/>
  <c r="E31" i="3"/>
  <c r="E72" i="3"/>
  <c r="E90" i="3"/>
  <c r="E65" i="3"/>
  <c r="E2" i="3"/>
  <c r="E41" i="3"/>
  <c r="E82" i="3"/>
  <c r="E7" i="3"/>
  <c r="E69" i="3"/>
  <c r="E99" i="3"/>
  <c r="E44" i="3"/>
  <c r="E33" i="3"/>
  <c r="E81" i="3"/>
  <c r="E24" i="3"/>
  <c r="E68" i="3"/>
  <c r="E98" i="3"/>
  <c r="E43" i="3"/>
  <c r="E100" i="3"/>
  <c r="E92" i="3"/>
  <c r="E40" i="3"/>
  <c r="E23" i="3"/>
  <c r="E66" i="3"/>
  <c r="E97" i="3"/>
  <c r="E83" i="3"/>
  <c r="E29" i="3"/>
  <c r="E101" i="3"/>
  <c r="E46" i="3"/>
  <c r="E59" i="3"/>
  <c r="E73" i="3"/>
  <c r="E84" i="3"/>
  <c r="E85" i="3"/>
  <c r="E45" i="3"/>
  <c r="E70" i="3"/>
  <c r="E16" i="3"/>
  <c r="E42" i="3"/>
  <c r="E21" i="3"/>
  <c r="E96" i="3"/>
  <c r="E102" i="3"/>
  <c r="E95" i="3"/>
  <c r="E94" i="3"/>
  <c r="E80" i="3"/>
  <c r="E55" i="3"/>
  <c r="E60" i="3"/>
  <c r="E50" i="3"/>
  <c r="E62" i="3"/>
  <c r="E56" i="3"/>
  <c r="E48" i="3"/>
  <c r="E34" i="3"/>
  <c r="E19" i="3"/>
  <c r="E20" i="3"/>
  <c r="E11" i="3"/>
</calcChain>
</file>

<file path=xl/sharedStrings.xml><?xml version="1.0" encoding="utf-8"?>
<sst xmlns="http://schemas.openxmlformats.org/spreadsheetml/2006/main" count="679" uniqueCount="131">
  <si>
    <t>Item</t>
  </si>
  <si>
    <t>Department</t>
  </si>
  <si>
    <t>SF Qty</t>
  </si>
  <si>
    <t>WH Qty</t>
  </si>
  <si>
    <t>GP Qty</t>
  </si>
  <si>
    <t>Iowa Qty</t>
  </si>
  <si>
    <t>Reorder Threshold</t>
  </si>
  <si>
    <t>Stock Baseline</t>
  </si>
  <si>
    <t>Est. Shipping Time</t>
  </si>
  <si>
    <t>Price/Pkg</t>
  </si>
  <si>
    <t>Current Stock Value</t>
  </si>
  <si>
    <t>Reorder Link</t>
  </si>
  <si>
    <t>R20</t>
  </si>
  <si>
    <t>R30</t>
  </si>
  <si>
    <t>R25</t>
  </si>
  <si>
    <t>R40</t>
  </si>
  <si>
    <t>R50</t>
  </si>
  <si>
    <t>CR50</t>
  </si>
  <si>
    <t>R70</t>
  </si>
  <si>
    <t>AIV12</t>
  </si>
  <si>
    <t>ECCWS</t>
  </si>
  <si>
    <t>SM10C</t>
  </si>
  <si>
    <t>ERO385</t>
  </si>
  <si>
    <t>EPS1000</t>
  </si>
  <si>
    <t>ETRO485 (tankless)</t>
  </si>
  <si>
    <t>Small Cooler</t>
  </si>
  <si>
    <t>Large Cooler</t>
  </si>
  <si>
    <t>HERO385</t>
  </si>
  <si>
    <t>AIV10</t>
  </si>
  <si>
    <t>Kit w/o Monitor</t>
  </si>
  <si>
    <t>Kit w/ Monitor</t>
  </si>
  <si>
    <t>Hydrolinks</t>
  </si>
  <si>
    <t>Membrane 50</t>
  </si>
  <si>
    <t>Membrane 75</t>
  </si>
  <si>
    <t>Sediment Filter</t>
  </si>
  <si>
    <t>Mineral Filter</t>
  </si>
  <si>
    <t>pH Filter (blue)</t>
  </si>
  <si>
    <t>Alkaline Filter (w/housing)</t>
  </si>
  <si>
    <t>Alkaline Filter (w/o housing)</t>
  </si>
  <si>
    <t>LTO Filter</t>
  </si>
  <si>
    <t>Microbiological Filter</t>
  </si>
  <si>
    <t>eFlow CTO Filter</t>
  </si>
  <si>
    <t>eFlow GAC Filter</t>
  </si>
  <si>
    <t>eFlow Membrane</t>
  </si>
  <si>
    <t>6Gal Tank</t>
  </si>
  <si>
    <t>10Gal Tank</t>
  </si>
  <si>
    <t>4Gal Tank</t>
  </si>
  <si>
    <t>3Gal Tank</t>
  </si>
  <si>
    <t>2Gal Tank</t>
  </si>
  <si>
    <t>Brushed Nickel Faucet</t>
  </si>
  <si>
    <t>Chrome Faucet</t>
  </si>
  <si>
    <t>Oil Rubbed Bronze Faucet</t>
  </si>
  <si>
    <t>Black Faucet</t>
  </si>
  <si>
    <t>Gold Faucet</t>
  </si>
  <si>
    <t>Misc. Faucet</t>
  </si>
  <si>
    <t>Salt</t>
  </si>
  <si>
    <t>3/8" x 3/8" x 1/4" JG</t>
  </si>
  <si>
    <t>3/8" x 3/8" x 3/8" JG</t>
  </si>
  <si>
    <t>3/8" Connector</t>
  </si>
  <si>
    <t>3/8" x 7/16 uns Faucet Adapter</t>
  </si>
  <si>
    <t>3/8" Shutoff</t>
  </si>
  <si>
    <t>3/8" Tee</t>
  </si>
  <si>
    <t>PHYN Leak Detector</t>
  </si>
  <si>
    <t>Check Valve</t>
  </si>
  <si>
    <t>1/4" Leak Detector</t>
  </si>
  <si>
    <t>Saddle Drain</t>
  </si>
  <si>
    <t>PHYN Pucks (2pk)</t>
  </si>
  <si>
    <t>RPZ</t>
  </si>
  <si>
    <t>Double Check</t>
  </si>
  <si>
    <t>Small Shed</t>
  </si>
  <si>
    <t>Large Shed</t>
  </si>
  <si>
    <t>Barrel</t>
  </si>
  <si>
    <t>Small Rock</t>
  </si>
  <si>
    <t>Large Rock</t>
  </si>
  <si>
    <t>Commercial Unit</t>
  </si>
  <si>
    <t>3/4" Bypass</t>
  </si>
  <si>
    <t>1" Bypass</t>
  </si>
  <si>
    <t>1" Crimp Ball Valve</t>
  </si>
  <si>
    <t>1" Pushfit Ball Valve</t>
  </si>
  <si>
    <t>1" Crimp Brass 90</t>
  </si>
  <si>
    <t>1" Crimp Poly 90</t>
  </si>
  <si>
    <t>1" Crimp Ring</t>
  </si>
  <si>
    <t>1" Crimp Poly Coupling</t>
  </si>
  <si>
    <t>1" Crimp Brass Coupling</t>
  </si>
  <si>
    <t>1" Foam Insulation</t>
  </si>
  <si>
    <t>1" PEX Stick (10ft)</t>
  </si>
  <si>
    <t>1" PEX Roll (100ft)</t>
  </si>
  <si>
    <t>1" PEX x Press Adapter (T1)</t>
  </si>
  <si>
    <t>1" PEX x Press Adapter (T2)</t>
  </si>
  <si>
    <t>1" PEX x Press Adapter(Copper)</t>
  </si>
  <si>
    <t>1" Pushfit 90</t>
  </si>
  <si>
    <t>1" Pushfit Coupling</t>
  </si>
  <si>
    <t>1" PEX to PVC Coupling</t>
  </si>
  <si>
    <t>1" to 1 1/4" Crimp Brass Coupling</t>
  </si>
  <si>
    <t>3/4" to 1" Crimp Poly Coupling</t>
  </si>
  <si>
    <t>3/4" to 1" Crimp Brass Coupling</t>
  </si>
  <si>
    <t>3/4" PEX x Press Adapter (Copper)</t>
  </si>
  <si>
    <t>1/2" Crimp Brass 90</t>
  </si>
  <si>
    <t>1/2" Crimp Poly 90</t>
  </si>
  <si>
    <t>1/2" Crimp Ring</t>
  </si>
  <si>
    <t>1/2" Crimp Poly Coupling</t>
  </si>
  <si>
    <t>1/2" Crimp Brass Coupling</t>
  </si>
  <si>
    <t>1/2" Foam Insulation</t>
  </si>
  <si>
    <t>1/2" PEX Stick (10ft)</t>
  </si>
  <si>
    <t>1/2" PEX Roll (100ft)</t>
  </si>
  <si>
    <t>1/2" PEX to 1/2" NPT Female</t>
  </si>
  <si>
    <t>1/2" PEX to 1/2" NPT Male</t>
  </si>
  <si>
    <t>1" PEX to 1" NPT Female</t>
  </si>
  <si>
    <t>1" PEX to 1" NPT Male</t>
  </si>
  <si>
    <t>Duct Tape</t>
  </si>
  <si>
    <t>RPZ Green Bag</t>
  </si>
  <si>
    <t>Access Panel</t>
  </si>
  <si>
    <t>Outlet</t>
  </si>
  <si>
    <t>PRV</t>
  </si>
  <si>
    <t>Unit/Pkg</t>
  </si>
  <si>
    <t>Install</t>
  </si>
  <si>
    <t>N/A</t>
  </si>
  <si>
    <t>Mixed</t>
  </si>
  <si>
    <t>Other</t>
  </si>
  <si>
    <t>CTO Filter</t>
  </si>
  <si>
    <t>VOC Filter</t>
  </si>
  <si>
    <t>Service</t>
  </si>
  <si>
    <t>1" PEX to 1" FNPT Swivel</t>
  </si>
  <si>
    <t>1" Granite Drill Bit</t>
  </si>
  <si>
    <t>1 1/4" Granite Drill Bit</t>
  </si>
  <si>
    <t>Air Gap</t>
  </si>
  <si>
    <t>1 week</t>
  </si>
  <si>
    <t>Difference</t>
  </si>
  <si>
    <t>Time to Order?</t>
  </si>
  <si>
    <t>add a previous week count for week to week changes.</t>
  </si>
  <si>
    <t>later, can lead to graph of line graph of weekly differences over month/year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</si>
</sst>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6C14F-905E-4EA1-B040-CA3554C0AC3D}" name="MAIN" displayName="MAIN" ref="A1:M110" totalsRowCount="1" headerRowDxfId="6">
  <autoFilter ref="A1:M109" xr:uid="{5456C14F-905E-4EA1-B040-CA3554C0AC3D}"/>
  <tableColumns count="13">
    <tableColumn id="1" xr3:uid="{78945E42-C4BD-463B-A4F1-6C95EDB96FF4}" name="Item" totalsRowFunction="count"/>
    <tableColumn id="2" xr3:uid="{2814BF33-733E-4872-8200-A9244C35689F}" name="Department"/>
    <tableColumn id="3" xr3:uid="{97D67942-58B8-495E-B991-DB448554FD96}" name="SF Qty"/>
    <tableColumn id="4" xr3:uid="{5A163057-ED92-469E-9CA6-E76389E42F7D}" name="WH Qty"/>
    <tableColumn id="5" xr3:uid="{32E362A1-E216-445D-9B38-D08D8AE02713}" name="GP Qty"/>
    <tableColumn id="6" xr3:uid="{FA0567B4-B1CC-4D1F-A24B-28E3F9007841}" name="Iowa Qty"/>
    <tableColumn id="7" xr3:uid="{8791B9F6-8900-4016-8469-3F542824CC5F}" name="Reorder Threshold"/>
    <tableColumn id="8" xr3:uid="{17D0CD29-E451-4472-BD8B-5C178D53DF6F}" name="Stock Baseline"/>
    <tableColumn id="9" xr3:uid="{07F1F79A-5F8D-4D19-AB2C-65162C1D971A}" name="Est. Shipping Time"/>
    <tableColumn id="10" xr3:uid="{231ADDC7-86A6-4568-9B0E-A9810118E86D}" name="Price/Pkg"/>
    <tableColumn id="11" xr3:uid="{9C704B4A-4AF2-4600-B2D1-916BDC9D8596}" name="Unit/Pkg"/>
    <tableColumn id="12" xr3:uid="{3335D155-6410-427D-87FC-BC50B026A80A}" name="Current Stock Value"/>
    <tableColumn id="13" xr3:uid="{720677A4-1AA9-4D6E-ACD3-CD19CA875759}" name="Reorder Link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477E21-B243-46AB-AFBF-C5DBC00A8516}" name="Table6" displayName="Table6" ref="A1:D110" totalsRowShown="0" headerRowDxfId="5">
  <autoFilter ref="A1:D110" xr:uid="{5E477E21-B243-46AB-AFBF-C5DBC00A8516}">
    <filterColumn colId="1">
      <filters blank="1">
        <filter val="0"/>
        <filter val="101"/>
        <filter val="104"/>
        <filter val="11"/>
        <filter val="1210"/>
        <filter val="-125"/>
        <filter val="14"/>
        <filter val="-17"/>
        <filter val="172"/>
        <filter val="180"/>
        <filter val="19"/>
        <filter val="190"/>
        <filter val="2"/>
        <filter val="22"/>
        <filter val="226"/>
        <filter val="235"/>
        <filter val="256"/>
        <filter val="27"/>
        <filter val="3"/>
        <filter val="326"/>
        <filter val="3445"/>
        <filter val="4"/>
        <filter val="406"/>
        <filter val="4293"/>
        <filter val="4487"/>
        <filter val="470"/>
        <filter val="592"/>
        <filter val="6"/>
        <filter val="61"/>
        <filter val="7"/>
        <filter val="787"/>
        <filter val="835"/>
        <filter val="843"/>
        <filter val="917"/>
      </filters>
    </filterColumn>
  </autoFilter>
  <tableColumns count="4">
    <tableColumn id="1" xr3:uid="{859EBACB-4FC6-40EE-B28C-3C7512E85C4B}" name="Item"/>
    <tableColumn id="2" xr3:uid="{A3507B1C-BB97-4F0F-9277-39B1A9F071E9}" name="SF Qty"/>
    <tableColumn id="3" xr3:uid="{5DA39EFD-1BA1-48F1-BE4F-E6E653066DE5}" name="WH Qty"/>
    <tableColumn id="4" xr3:uid="{4048973C-944A-4D7F-ACCD-B3EFE6600F41}" name="Diffe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DD702C-9D36-4548-A8E6-4D0F40CDF527}" name="REORDER" displayName="REORDER" ref="A1:E110" totalsRowShown="0" headerRowDxfId="4">
  <autoFilter ref="A1:E110" xr:uid="{73DD702C-9D36-4548-A8E6-4D0F40CDF527}">
    <filterColumn colId="3">
      <filters blank="1">
        <filter val="1"/>
        <filter val="10"/>
        <filter val="100"/>
        <filter val="120"/>
        <filter val="1200"/>
        <filter val="1250"/>
        <filter val="168"/>
        <filter val="18"/>
        <filter val="2"/>
        <filter val="20"/>
        <filter val="200"/>
        <filter val="25"/>
        <filter val="3"/>
        <filter val="300"/>
        <filter val="35"/>
        <filter val="4"/>
        <filter val="40"/>
        <filter val="400"/>
        <filter val="44"/>
        <filter val="45"/>
        <filter val="48"/>
        <filter val="5"/>
        <filter val="50"/>
        <filter val="588"/>
        <filter val="6"/>
        <filter val="60"/>
        <filter val="600"/>
        <filter val="62"/>
        <filter val="72"/>
      </filters>
    </filterColumn>
  </autoFilter>
  <tableColumns count="5">
    <tableColumn id="1" xr3:uid="{0ACEB26F-BFAA-4EDD-A6C7-FA260DA0EF34}" name="Item"/>
    <tableColumn id="2" xr3:uid="{E8365D74-64DB-40F6-ADC4-83C2F0817878}" name="WH Qty"/>
    <tableColumn id="3" xr3:uid="{5C8AD2E3-1073-47C6-9EB1-F18153A0089F}" name="GP Qty"/>
    <tableColumn id="4" xr3:uid="{ABADA360-EC5E-4EBC-A261-8207ED1D510A}" name="Reorder Threshold"/>
    <tableColumn id="5" xr3:uid="{7F597E40-824A-48FC-A7E9-007408DC672D}" name="Time to Order?" dataDxfId="3">
      <calculatedColumnFormula>IF((B2+C2)&lt;=D2, 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C6FC-A098-42EE-B3A2-A8BD66DE2490}">
  <sheetPr>
    <pageSetUpPr fitToPage="1"/>
  </sheetPr>
  <dimension ref="A1:O110"/>
  <sheetViews>
    <sheetView tabSelected="1" topLeftCell="A89" zoomScale="110" zoomScaleNormal="110" workbookViewId="0">
      <selection activeCell="D69" sqref="D69"/>
    </sheetView>
  </sheetViews>
  <sheetFormatPr defaultRowHeight="14.35" x14ac:dyDescent="0.5"/>
  <cols>
    <col min="1" max="1" width="27.3515625" customWidth="1"/>
    <col min="2" max="2" width="12.46875" customWidth="1"/>
    <col min="6" max="6" width="9.46875" customWidth="1"/>
    <col min="7" max="7" width="17.87890625" customWidth="1"/>
    <col min="8" max="8" width="16.52734375" customWidth="1"/>
    <col min="9" max="9" width="18.703125" customWidth="1"/>
    <col min="10" max="10" width="10.234375" customWidth="1"/>
    <col min="11" max="11" width="9.41015625" customWidth="1"/>
    <col min="12" max="12" width="18.52734375" customWidth="1"/>
    <col min="13" max="13" width="26.76171875" customWidth="1"/>
  </cols>
  <sheetData>
    <row r="1" spans="1:1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114</v>
      </c>
      <c r="L1" s="1" t="s">
        <v>10</v>
      </c>
      <c r="M1" s="1" t="s">
        <v>11</v>
      </c>
    </row>
    <row r="2" spans="1:15" x14ac:dyDescent="0.5">
      <c r="A2" t="s">
        <v>12</v>
      </c>
      <c r="B2" t="s">
        <v>115</v>
      </c>
      <c r="C2" t="s">
        <v>116</v>
      </c>
      <c r="D2">
        <v>36</v>
      </c>
      <c r="E2">
        <v>24</v>
      </c>
      <c r="G2">
        <v>72</v>
      </c>
      <c r="H2">
        <v>120</v>
      </c>
      <c r="I2" t="s">
        <v>126</v>
      </c>
      <c r="K2">
        <v>6</v>
      </c>
      <c r="O2" t="s">
        <v>129</v>
      </c>
    </row>
    <row r="3" spans="1:15" x14ac:dyDescent="0.5">
      <c r="A3" t="s">
        <v>14</v>
      </c>
      <c r="B3" t="s">
        <v>115</v>
      </c>
      <c r="C3" t="s">
        <v>116</v>
      </c>
      <c r="D3">
        <v>1</v>
      </c>
      <c r="E3">
        <v>0</v>
      </c>
      <c r="G3" t="s">
        <v>116</v>
      </c>
      <c r="H3">
        <v>6</v>
      </c>
      <c r="K3">
        <v>6</v>
      </c>
      <c r="O3" t="s">
        <v>130</v>
      </c>
    </row>
    <row r="4" spans="1:15" x14ac:dyDescent="0.5">
      <c r="A4" t="s">
        <v>13</v>
      </c>
      <c r="B4" t="s">
        <v>115</v>
      </c>
      <c r="C4" t="s">
        <v>116</v>
      </c>
      <c r="D4">
        <v>8</v>
      </c>
      <c r="E4">
        <v>4</v>
      </c>
      <c r="G4">
        <v>4</v>
      </c>
      <c r="H4">
        <v>16</v>
      </c>
      <c r="K4">
        <v>4</v>
      </c>
    </row>
    <row r="5" spans="1:15" x14ac:dyDescent="0.5">
      <c r="A5" t="s">
        <v>15</v>
      </c>
      <c r="B5" t="s">
        <v>115</v>
      </c>
      <c r="C5" t="s">
        <v>116</v>
      </c>
      <c r="D5">
        <v>3</v>
      </c>
      <c r="E5">
        <v>0</v>
      </c>
      <c r="G5" t="s">
        <v>116</v>
      </c>
      <c r="H5">
        <v>4</v>
      </c>
      <c r="K5">
        <v>4</v>
      </c>
    </row>
    <row r="6" spans="1:15" x14ac:dyDescent="0.5">
      <c r="A6" t="s">
        <v>16</v>
      </c>
      <c r="B6" t="s">
        <v>115</v>
      </c>
      <c r="C6" t="s">
        <v>116</v>
      </c>
      <c r="D6">
        <v>0</v>
      </c>
      <c r="E6">
        <v>0</v>
      </c>
      <c r="G6" t="s">
        <v>116</v>
      </c>
      <c r="H6">
        <v>4</v>
      </c>
      <c r="K6">
        <v>4</v>
      </c>
    </row>
    <row r="7" spans="1:15" x14ac:dyDescent="0.5">
      <c r="A7" t="s">
        <v>17</v>
      </c>
      <c r="B7" t="s">
        <v>115</v>
      </c>
      <c r="C7" t="s">
        <v>116</v>
      </c>
      <c r="D7">
        <v>4</v>
      </c>
      <c r="E7">
        <v>4</v>
      </c>
      <c r="G7">
        <v>4</v>
      </c>
      <c r="H7">
        <v>16</v>
      </c>
      <c r="K7">
        <v>4</v>
      </c>
    </row>
    <row r="8" spans="1:15" x14ac:dyDescent="0.5">
      <c r="A8" t="s">
        <v>18</v>
      </c>
      <c r="B8" t="s">
        <v>115</v>
      </c>
      <c r="C8" t="s">
        <v>116</v>
      </c>
      <c r="D8">
        <v>0</v>
      </c>
      <c r="E8">
        <v>0</v>
      </c>
      <c r="G8">
        <v>2</v>
      </c>
      <c r="H8">
        <v>4</v>
      </c>
      <c r="K8">
        <v>4</v>
      </c>
    </row>
    <row r="9" spans="1:15" x14ac:dyDescent="0.5">
      <c r="A9" t="s">
        <v>28</v>
      </c>
      <c r="B9" t="s">
        <v>115</v>
      </c>
      <c r="C9" t="s">
        <v>116</v>
      </c>
      <c r="D9">
        <v>0</v>
      </c>
      <c r="E9">
        <v>0</v>
      </c>
      <c r="G9" t="s">
        <v>116</v>
      </c>
      <c r="H9">
        <v>0</v>
      </c>
      <c r="K9" t="s">
        <v>116</v>
      </c>
    </row>
    <row r="10" spans="1:15" x14ac:dyDescent="0.5">
      <c r="A10" t="s">
        <v>19</v>
      </c>
      <c r="B10" t="s">
        <v>115</v>
      </c>
      <c r="C10" t="s">
        <v>116</v>
      </c>
      <c r="D10">
        <v>3</v>
      </c>
      <c r="E10">
        <v>0</v>
      </c>
      <c r="G10" t="s">
        <v>116</v>
      </c>
      <c r="H10">
        <v>4</v>
      </c>
      <c r="K10">
        <v>4</v>
      </c>
    </row>
    <row r="11" spans="1:15" x14ac:dyDescent="0.5">
      <c r="A11" t="s">
        <v>20</v>
      </c>
      <c r="B11" t="s">
        <v>115</v>
      </c>
      <c r="C11" t="s">
        <v>116</v>
      </c>
      <c r="D11">
        <v>0</v>
      </c>
      <c r="E11">
        <v>0</v>
      </c>
      <c r="G11">
        <v>2</v>
      </c>
      <c r="H11">
        <v>4</v>
      </c>
      <c r="K11">
        <v>4</v>
      </c>
    </row>
    <row r="12" spans="1:15" x14ac:dyDescent="0.5">
      <c r="A12" t="s">
        <v>21</v>
      </c>
      <c r="B12" t="s">
        <v>115</v>
      </c>
      <c r="C12" t="s">
        <v>116</v>
      </c>
      <c r="D12">
        <v>4</v>
      </c>
      <c r="E12">
        <v>0</v>
      </c>
      <c r="G12" t="s">
        <v>116</v>
      </c>
      <c r="H12">
        <v>0</v>
      </c>
      <c r="K12" t="s">
        <v>116</v>
      </c>
    </row>
    <row r="13" spans="1:15" x14ac:dyDescent="0.5">
      <c r="A13" t="s">
        <v>22</v>
      </c>
      <c r="B13" t="s">
        <v>117</v>
      </c>
      <c r="C13" t="s">
        <v>116</v>
      </c>
      <c r="D13">
        <v>54</v>
      </c>
      <c r="E13">
        <v>117</v>
      </c>
      <c r="G13">
        <v>45</v>
      </c>
      <c r="H13">
        <v>90</v>
      </c>
      <c r="K13">
        <v>45</v>
      </c>
    </row>
    <row r="14" spans="1:15" x14ac:dyDescent="0.5">
      <c r="A14" t="s">
        <v>27</v>
      </c>
      <c r="B14" t="s">
        <v>117</v>
      </c>
      <c r="C14" t="s">
        <v>116</v>
      </c>
      <c r="D14">
        <v>1</v>
      </c>
      <c r="E14">
        <v>0</v>
      </c>
      <c r="G14" t="s">
        <v>116</v>
      </c>
      <c r="H14">
        <v>0</v>
      </c>
      <c r="K14">
        <v>45</v>
      </c>
    </row>
    <row r="15" spans="1:15" x14ac:dyDescent="0.5">
      <c r="A15" t="s">
        <v>23</v>
      </c>
      <c r="B15" t="s">
        <v>117</v>
      </c>
      <c r="C15" t="s">
        <v>116</v>
      </c>
      <c r="D15">
        <v>28</v>
      </c>
      <c r="E15">
        <v>0</v>
      </c>
      <c r="G15">
        <v>6</v>
      </c>
      <c r="H15">
        <v>30</v>
      </c>
      <c r="K15">
        <v>30</v>
      </c>
    </row>
    <row r="16" spans="1:15" x14ac:dyDescent="0.5">
      <c r="A16" t="s">
        <v>24</v>
      </c>
      <c r="B16" t="s">
        <v>117</v>
      </c>
      <c r="C16" t="s">
        <v>116</v>
      </c>
      <c r="D16">
        <v>5</v>
      </c>
      <c r="E16">
        <v>0</v>
      </c>
      <c r="G16">
        <v>2</v>
      </c>
      <c r="H16">
        <v>10</v>
      </c>
      <c r="K16">
        <v>10</v>
      </c>
    </row>
    <row r="17" spans="1:11" x14ac:dyDescent="0.5">
      <c r="A17" t="s">
        <v>25</v>
      </c>
      <c r="B17" t="s">
        <v>118</v>
      </c>
      <c r="C17" t="s">
        <v>116</v>
      </c>
      <c r="D17">
        <v>7</v>
      </c>
      <c r="E17">
        <v>0</v>
      </c>
      <c r="G17" t="s">
        <v>116</v>
      </c>
      <c r="H17">
        <v>0</v>
      </c>
      <c r="K17" t="s">
        <v>116</v>
      </c>
    </row>
    <row r="18" spans="1:11" x14ac:dyDescent="0.5">
      <c r="A18" t="s">
        <v>26</v>
      </c>
      <c r="B18" t="s">
        <v>118</v>
      </c>
      <c r="C18" t="s">
        <v>116</v>
      </c>
      <c r="D18">
        <v>7</v>
      </c>
      <c r="E18">
        <v>0</v>
      </c>
      <c r="G18" t="s">
        <v>116</v>
      </c>
      <c r="H18">
        <v>0</v>
      </c>
      <c r="K18" t="s">
        <v>116</v>
      </c>
    </row>
    <row r="19" spans="1:11" x14ac:dyDescent="0.5">
      <c r="A19" t="s">
        <v>29</v>
      </c>
      <c r="B19" t="s">
        <v>117</v>
      </c>
      <c r="C19" t="s">
        <v>116</v>
      </c>
      <c r="D19">
        <v>135</v>
      </c>
      <c r="E19">
        <v>1080</v>
      </c>
      <c r="G19">
        <v>35</v>
      </c>
      <c r="H19">
        <v>144</v>
      </c>
      <c r="K19">
        <v>72</v>
      </c>
    </row>
    <row r="20" spans="1:11" x14ac:dyDescent="0.5">
      <c r="A20" t="s">
        <v>30</v>
      </c>
      <c r="B20" t="s">
        <v>117</v>
      </c>
      <c r="C20" t="s">
        <v>116</v>
      </c>
      <c r="D20">
        <v>19</v>
      </c>
      <c r="E20">
        <v>0</v>
      </c>
      <c r="G20">
        <v>5</v>
      </c>
      <c r="H20">
        <v>20</v>
      </c>
      <c r="K20" t="s">
        <v>116</v>
      </c>
    </row>
    <row r="21" spans="1:11" x14ac:dyDescent="0.5">
      <c r="A21" t="s">
        <v>31</v>
      </c>
      <c r="B21" t="s">
        <v>117</v>
      </c>
      <c r="C21" t="s">
        <v>116</v>
      </c>
      <c r="D21">
        <v>11</v>
      </c>
      <c r="E21">
        <v>0</v>
      </c>
      <c r="G21">
        <v>5</v>
      </c>
      <c r="H21">
        <v>20</v>
      </c>
      <c r="K21" t="s">
        <v>116</v>
      </c>
    </row>
    <row r="22" spans="1:11" x14ac:dyDescent="0.5">
      <c r="A22" t="s">
        <v>119</v>
      </c>
      <c r="B22" t="s">
        <v>121</v>
      </c>
      <c r="C22">
        <v>917</v>
      </c>
      <c r="D22">
        <v>275</v>
      </c>
      <c r="E22">
        <v>0</v>
      </c>
      <c r="G22">
        <v>168</v>
      </c>
      <c r="H22">
        <v>600</v>
      </c>
      <c r="K22">
        <v>12</v>
      </c>
    </row>
    <row r="23" spans="1:11" x14ac:dyDescent="0.5">
      <c r="A23" t="s">
        <v>120</v>
      </c>
      <c r="B23" t="s">
        <v>121</v>
      </c>
      <c r="C23">
        <v>835</v>
      </c>
      <c r="D23">
        <v>270</v>
      </c>
      <c r="E23">
        <v>0</v>
      </c>
      <c r="G23">
        <v>168</v>
      </c>
      <c r="H23">
        <v>600</v>
      </c>
      <c r="K23">
        <v>12</v>
      </c>
    </row>
    <row r="24" spans="1:11" x14ac:dyDescent="0.5">
      <c r="A24" t="s">
        <v>32</v>
      </c>
      <c r="B24" t="s">
        <v>121</v>
      </c>
      <c r="C24">
        <v>61</v>
      </c>
      <c r="D24">
        <v>0</v>
      </c>
      <c r="E24">
        <v>0</v>
      </c>
      <c r="G24">
        <v>18</v>
      </c>
      <c r="H24">
        <v>60</v>
      </c>
      <c r="K24">
        <v>6</v>
      </c>
    </row>
    <row r="25" spans="1:11" x14ac:dyDescent="0.5">
      <c r="A25" t="s">
        <v>33</v>
      </c>
      <c r="B25" t="s">
        <v>121</v>
      </c>
      <c r="C25" t="s">
        <v>116</v>
      </c>
      <c r="D25">
        <v>0</v>
      </c>
      <c r="E25">
        <v>0</v>
      </c>
      <c r="G25">
        <v>3</v>
      </c>
      <c r="H25">
        <v>12</v>
      </c>
      <c r="K25" t="s">
        <v>116</v>
      </c>
    </row>
    <row r="26" spans="1:11" x14ac:dyDescent="0.5">
      <c r="A26" t="s">
        <v>35</v>
      </c>
      <c r="B26" t="s">
        <v>121</v>
      </c>
      <c r="C26">
        <v>2</v>
      </c>
      <c r="D26">
        <v>2</v>
      </c>
      <c r="E26">
        <v>0</v>
      </c>
      <c r="G26" t="s">
        <v>116</v>
      </c>
      <c r="H26">
        <v>0</v>
      </c>
      <c r="K26">
        <v>6</v>
      </c>
    </row>
    <row r="27" spans="1:11" x14ac:dyDescent="0.5">
      <c r="A27" t="s">
        <v>34</v>
      </c>
      <c r="B27" t="s">
        <v>121</v>
      </c>
      <c r="C27">
        <v>2</v>
      </c>
      <c r="D27">
        <v>1</v>
      </c>
      <c r="E27">
        <v>0</v>
      </c>
      <c r="G27" t="s">
        <v>116</v>
      </c>
      <c r="H27">
        <v>0</v>
      </c>
      <c r="K27">
        <v>6</v>
      </c>
    </row>
    <row r="28" spans="1:11" x14ac:dyDescent="0.5">
      <c r="A28" t="s">
        <v>36</v>
      </c>
      <c r="B28" t="s">
        <v>121</v>
      </c>
      <c r="C28">
        <v>2</v>
      </c>
      <c r="D28">
        <v>2</v>
      </c>
      <c r="E28">
        <v>0</v>
      </c>
      <c r="G28" t="s">
        <v>116</v>
      </c>
      <c r="H28">
        <v>0</v>
      </c>
      <c r="K28" t="s">
        <v>116</v>
      </c>
    </row>
    <row r="29" spans="1:11" x14ac:dyDescent="0.5">
      <c r="A29" t="s">
        <v>37</v>
      </c>
      <c r="B29" t="s">
        <v>117</v>
      </c>
      <c r="C29" t="s">
        <v>116</v>
      </c>
      <c r="D29">
        <v>70</v>
      </c>
      <c r="E29">
        <v>0</v>
      </c>
      <c r="G29">
        <v>50</v>
      </c>
      <c r="H29">
        <v>448</v>
      </c>
      <c r="K29">
        <v>6</v>
      </c>
    </row>
    <row r="30" spans="1:11" x14ac:dyDescent="0.5">
      <c r="A30" t="s">
        <v>38</v>
      </c>
      <c r="B30" t="s">
        <v>121</v>
      </c>
      <c r="C30" t="s">
        <v>116</v>
      </c>
      <c r="D30">
        <v>0</v>
      </c>
      <c r="E30">
        <v>0</v>
      </c>
      <c r="G30" t="s">
        <v>116</v>
      </c>
      <c r="H30">
        <v>0</v>
      </c>
      <c r="K30">
        <v>6</v>
      </c>
    </row>
    <row r="31" spans="1:11" x14ac:dyDescent="0.5">
      <c r="A31" t="s">
        <v>40</v>
      </c>
      <c r="B31" t="s">
        <v>121</v>
      </c>
      <c r="C31" t="s">
        <v>116</v>
      </c>
      <c r="D31">
        <v>49</v>
      </c>
      <c r="E31">
        <v>0</v>
      </c>
      <c r="G31">
        <v>6</v>
      </c>
      <c r="H31">
        <v>18</v>
      </c>
      <c r="K31">
        <v>6</v>
      </c>
    </row>
    <row r="32" spans="1:11" x14ac:dyDescent="0.5">
      <c r="A32" t="s">
        <v>39</v>
      </c>
      <c r="B32" t="s">
        <v>121</v>
      </c>
      <c r="C32" t="s">
        <v>116</v>
      </c>
      <c r="D32">
        <v>42</v>
      </c>
      <c r="E32">
        <v>0</v>
      </c>
      <c r="G32">
        <v>6</v>
      </c>
      <c r="H32">
        <v>18</v>
      </c>
      <c r="K32">
        <v>6</v>
      </c>
    </row>
    <row r="33" spans="1:11" x14ac:dyDescent="0.5">
      <c r="A33" t="s">
        <v>41</v>
      </c>
      <c r="B33" t="s">
        <v>121</v>
      </c>
      <c r="C33" t="s">
        <v>116</v>
      </c>
      <c r="D33">
        <v>23</v>
      </c>
      <c r="E33">
        <v>0</v>
      </c>
      <c r="G33">
        <v>5</v>
      </c>
      <c r="H33">
        <v>20</v>
      </c>
      <c r="K33">
        <v>20</v>
      </c>
    </row>
    <row r="34" spans="1:11" x14ac:dyDescent="0.5">
      <c r="A34" t="s">
        <v>42</v>
      </c>
      <c r="B34" t="s">
        <v>121</v>
      </c>
      <c r="C34" t="s">
        <v>116</v>
      </c>
      <c r="D34">
        <v>20</v>
      </c>
      <c r="E34">
        <v>0</v>
      </c>
      <c r="G34">
        <v>5</v>
      </c>
      <c r="H34">
        <v>20</v>
      </c>
      <c r="K34">
        <v>20</v>
      </c>
    </row>
    <row r="35" spans="1:11" x14ac:dyDescent="0.5">
      <c r="A35" t="s">
        <v>43</v>
      </c>
      <c r="B35" t="s">
        <v>121</v>
      </c>
      <c r="C35" t="s">
        <v>116</v>
      </c>
      <c r="D35">
        <v>2</v>
      </c>
      <c r="E35">
        <v>0</v>
      </c>
      <c r="G35">
        <v>2</v>
      </c>
      <c r="H35">
        <v>10</v>
      </c>
      <c r="K35" t="s">
        <v>116</v>
      </c>
    </row>
    <row r="36" spans="1:11" x14ac:dyDescent="0.5">
      <c r="A36" t="s">
        <v>76</v>
      </c>
      <c r="B36" t="s">
        <v>117</v>
      </c>
      <c r="C36" t="s">
        <v>116</v>
      </c>
      <c r="D36">
        <v>127</v>
      </c>
      <c r="E36">
        <v>0</v>
      </c>
      <c r="G36">
        <v>48</v>
      </c>
      <c r="H36">
        <v>160</v>
      </c>
      <c r="K36">
        <v>8</v>
      </c>
    </row>
    <row r="37" spans="1:11" x14ac:dyDescent="0.5">
      <c r="A37" t="s">
        <v>45</v>
      </c>
      <c r="B37" t="s">
        <v>117</v>
      </c>
      <c r="C37" t="s">
        <v>116</v>
      </c>
      <c r="D37">
        <v>1</v>
      </c>
      <c r="E37">
        <v>0</v>
      </c>
      <c r="G37" t="s">
        <v>116</v>
      </c>
      <c r="H37">
        <v>2</v>
      </c>
      <c r="K37" t="s">
        <v>116</v>
      </c>
    </row>
    <row r="38" spans="1:11" x14ac:dyDescent="0.5">
      <c r="A38" t="s">
        <v>44</v>
      </c>
      <c r="B38" t="s">
        <v>117</v>
      </c>
      <c r="C38" t="s">
        <v>116</v>
      </c>
      <c r="D38">
        <v>2</v>
      </c>
      <c r="E38">
        <v>0</v>
      </c>
      <c r="G38" t="s">
        <v>116</v>
      </c>
      <c r="H38">
        <v>2</v>
      </c>
      <c r="K38" t="s">
        <v>116</v>
      </c>
    </row>
    <row r="39" spans="1:11" x14ac:dyDescent="0.5">
      <c r="A39" t="s">
        <v>46</v>
      </c>
      <c r="B39" t="s">
        <v>117</v>
      </c>
      <c r="C39" t="s">
        <v>116</v>
      </c>
      <c r="D39">
        <v>104</v>
      </c>
      <c r="E39">
        <v>0</v>
      </c>
      <c r="G39">
        <v>44</v>
      </c>
      <c r="H39">
        <v>88</v>
      </c>
      <c r="K39">
        <v>88</v>
      </c>
    </row>
    <row r="40" spans="1:11" x14ac:dyDescent="0.5">
      <c r="A40" t="s">
        <v>47</v>
      </c>
      <c r="B40" t="s">
        <v>117</v>
      </c>
      <c r="C40" t="s">
        <v>116</v>
      </c>
      <c r="D40">
        <v>6</v>
      </c>
      <c r="E40">
        <v>0</v>
      </c>
      <c r="G40">
        <v>2</v>
      </c>
      <c r="H40">
        <v>10</v>
      </c>
      <c r="K40" t="s">
        <v>116</v>
      </c>
    </row>
    <row r="41" spans="1:11" x14ac:dyDescent="0.5">
      <c r="A41" t="s">
        <v>48</v>
      </c>
      <c r="B41" t="s">
        <v>117</v>
      </c>
      <c r="C41" t="s">
        <v>116</v>
      </c>
      <c r="D41">
        <v>7</v>
      </c>
      <c r="E41">
        <v>0</v>
      </c>
      <c r="G41">
        <v>2</v>
      </c>
      <c r="H41">
        <v>10</v>
      </c>
      <c r="K41" t="s">
        <v>116</v>
      </c>
    </row>
    <row r="42" spans="1:11" x14ac:dyDescent="0.5">
      <c r="A42" t="s">
        <v>49</v>
      </c>
      <c r="B42" t="s">
        <v>117</v>
      </c>
      <c r="C42" t="s">
        <v>116</v>
      </c>
      <c r="D42">
        <v>305</v>
      </c>
      <c r="E42">
        <v>2280</v>
      </c>
      <c r="G42">
        <v>300</v>
      </c>
      <c r="H42">
        <v>1440</v>
      </c>
      <c r="K42">
        <v>20</v>
      </c>
    </row>
    <row r="43" spans="1:11" x14ac:dyDescent="0.5">
      <c r="A43" t="s">
        <v>50</v>
      </c>
      <c r="B43" t="s">
        <v>117</v>
      </c>
      <c r="C43" t="s">
        <v>116</v>
      </c>
      <c r="D43">
        <v>445</v>
      </c>
      <c r="E43">
        <v>800</v>
      </c>
      <c r="G43">
        <v>200</v>
      </c>
      <c r="H43">
        <v>960</v>
      </c>
      <c r="K43">
        <v>20</v>
      </c>
    </row>
    <row r="44" spans="1:11" x14ac:dyDescent="0.5">
      <c r="A44" t="s">
        <v>51</v>
      </c>
      <c r="B44" t="s">
        <v>117</v>
      </c>
      <c r="C44" t="s">
        <v>116</v>
      </c>
      <c r="D44">
        <v>10</v>
      </c>
      <c r="E44">
        <v>0</v>
      </c>
      <c r="G44">
        <v>5</v>
      </c>
      <c r="H44">
        <v>20</v>
      </c>
      <c r="K44" t="s">
        <v>116</v>
      </c>
    </row>
    <row r="45" spans="1:11" x14ac:dyDescent="0.5">
      <c r="A45" t="s">
        <v>52</v>
      </c>
      <c r="B45" t="s">
        <v>117</v>
      </c>
      <c r="C45" t="s">
        <v>116</v>
      </c>
      <c r="D45">
        <v>161</v>
      </c>
      <c r="E45">
        <v>1000</v>
      </c>
      <c r="G45">
        <v>40</v>
      </c>
      <c r="H45">
        <v>240</v>
      </c>
      <c r="K45">
        <v>20</v>
      </c>
    </row>
    <row r="46" spans="1:11" x14ac:dyDescent="0.5">
      <c r="A46" t="s">
        <v>53</v>
      </c>
      <c r="B46" t="s">
        <v>117</v>
      </c>
      <c r="C46" t="s">
        <v>116</v>
      </c>
      <c r="D46">
        <v>191</v>
      </c>
      <c r="E46">
        <v>400</v>
      </c>
      <c r="G46">
        <v>40</v>
      </c>
      <c r="H46">
        <v>240</v>
      </c>
      <c r="K46">
        <v>20</v>
      </c>
    </row>
    <row r="47" spans="1:11" x14ac:dyDescent="0.5">
      <c r="A47" t="s">
        <v>54</v>
      </c>
      <c r="B47" t="s">
        <v>118</v>
      </c>
      <c r="C47" t="s">
        <v>116</v>
      </c>
      <c r="D47">
        <v>25</v>
      </c>
      <c r="E47">
        <v>0</v>
      </c>
      <c r="G47" t="s">
        <v>116</v>
      </c>
      <c r="H47">
        <v>0</v>
      </c>
      <c r="K47" t="s">
        <v>116</v>
      </c>
    </row>
    <row r="48" spans="1:11" x14ac:dyDescent="0.5">
      <c r="A48" t="s">
        <v>55</v>
      </c>
      <c r="B48" t="s">
        <v>117</v>
      </c>
      <c r="C48">
        <v>592</v>
      </c>
      <c r="D48">
        <v>1149</v>
      </c>
      <c r="E48">
        <v>0</v>
      </c>
      <c r="G48">
        <v>588</v>
      </c>
      <c r="H48">
        <v>931</v>
      </c>
      <c r="K48">
        <v>49</v>
      </c>
    </row>
    <row r="49" spans="1:11" x14ac:dyDescent="0.5">
      <c r="A49" t="s">
        <v>56</v>
      </c>
      <c r="B49" t="s">
        <v>117</v>
      </c>
      <c r="C49">
        <v>101</v>
      </c>
      <c r="D49">
        <v>96</v>
      </c>
      <c r="E49">
        <v>0</v>
      </c>
      <c r="G49">
        <v>120</v>
      </c>
      <c r="H49">
        <v>600</v>
      </c>
      <c r="K49">
        <v>30</v>
      </c>
    </row>
    <row r="50" spans="1:11" x14ac:dyDescent="0.5">
      <c r="A50" t="s">
        <v>57</v>
      </c>
      <c r="B50" t="s">
        <v>117</v>
      </c>
      <c r="C50" t="s">
        <v>116</v>
      </c>
      <c r="D50">
        <v>32</v>
      </c>
      <c r="E50">
        <v>0</v>
      </c>
      <c r="G50">
        <v>2</v>
      </c>
      <c r="H50">
        <v>10</v>
      </c>
      <c r="K50" t="s">
        <v>116</v>
      </c>
    </row>
    <row r="51" spans="1:11" x14ac:dyDescent="0.5">
      <c r="A51" t="s">
        <v>65</v>
      </c>
      <c r="B51" t="s">
        <v>117</v>
      </c>
      <c r="C51" t="s">
        <v>116</v>
      </c>
      <c r="D51">
        <v>506</v>
      </c>
      <c r="E51">
        <v>0</v>
      </c>
      <c r="G51">
        <v>120</v>
      </c>
      <c r="H51">
        <v>2000</v>
      </c>
      <c r="K51">
        <v>400</v>
      </c>
    </row>
    <row r="52" spans="1:11" x14ac:dyDescent="0.5">
      <c r="A52" t="s">
        <v>58</v>
      </c>
      <c r="B52" t="s">
        <v>117</v>
      </c>
      <c r="C52" t="s">
        <v>116</v>
      </c>
      <c r="D52">
        <v>178</v>
      </c>
      <c r="E52">
        <v>0</v>
      </c>
      <c r="G52">
        <v>120</v>
      </c>
      <c r="H52">
        <v>400</v>
      </c>
      <c r="K52">
        <v>200</v>
      </c>
    </row>
    <row r="53" spans="1:11" x14ac:dyDescent="0.5">
      <c r="A53" t="s">
        <v>59</v>
      </c>
      <c r="B53" t="s">
        <v>117</v>
      </c>
      <c r="C53" t="s">
        <v>116</v>
      </c>
      <c r="D53">
        <v>42</v>
      </c>
      <c r="E53">
        <v>0</v>
      </c>
      <c r="G53">
        <v>20</v>
      </c>
      <c r="H53">
        <v>60</v>
      </c>
      <c r="K53" t="s">
        <v>116</v>
      </c>
    </row>
    <row r="54" spans="1:11" x14ac:dyDescent="0.5">
      <c r="A54" t="s">
        <v>60</v>
      </c>
      <c r="B54" t="s">
        <v>117</v>
      </c>
      <c r="C54" t="s">
        <v>116</v>
      </c>
      <c r="D54">
        <v>260</v>
      </c>
      <c r="E54">
        <v>0</v>
      </c>
      <c r="G54">
        <v>20</v>
      </c>
      <c r="H54">
        <v>100</v>
      </c>
      <c r="K54" t="s">
        <v>116</v>
      </c>
    </row>
    <row r="55" spans="1:11" x14ac:dyDescent="0.5">
      <c r="A55" t="s">
        <v>61</v>
      </c>
      <c r="B55" t="s">
        <v>117</v>
      </c>
      <c r="C55" t="s">
        <v>116</v>
      </c>
      <c r="D55">
        <v>35</v>
      </c>
      <c r="E55">
        <v>0</v>
      </c>
      <c r="G55">
        <v>20</v>
      </c>
      <c r="H55">
        <v>60</v>
      </c>
      <c r="K55" t="s">
        <v>116</v>
      </c>
    </row>
    <row r="56" spans="1:11" x14ac:dyDescent="0.5">
      <c r="A56" t="s">
        <v>63</v>
      </c>
      <c r="B56" t="s">
        <v>117</v>
      </c>
      <c r="C56" t="s">
        <v>116</v>
      </c>
      <c r="D56">
        <v>24</v>
      </c>
      <c r="E56">
        <v>0</v>
      </c>
      <c r="G56">
        <v>25</v>
      </c>
      <c r="H56">
        <v>100</v>
      </c>
      <c r="K56">
        <v>100</v>
      </c>
    </row>
    <row r="57" spans="1:11" x14ac:dyDescent="0.5">
      <c r="A57" t="s">
        <v>64</v>
      </c>
      <c r="B57" t="s">
        <v>117</v>
      </c>
      <c r="C57" t="s">
        <v>116</v>
      </c>
      <c r="D57">
        <v>1461</v>
      </c>
      <c r="E57">
        <v>0</v>
      </c>
      <c r="G57">
        <v>400</v>
      </c>
      <c r="H57">
        <v>1600</v>
      </c>
      <c r="K57">
        <v>400</v>
      </c>
    </row>
    <row r="58" spans="1:11" x14ac:dyDescent="0.5">
      <c r="A58" t="s">
        <v>62</v>
      </c>
      <c r="B58" t="s">
        <v>115</v>
      </c>
      <c r="C58" t="s">
        <v>116</v>
      </c>
      <c r="D58">
        <v>8</v>
      </c>
      <c r="E58">
        <v>0</v>
      </c>
      <c r="G58">
        <v>5</v>
      </c>
      <c r="H58">
        <v>20</v>
      </c>
      <c r="K58" t="s">
        <v>116</v>
      </c>
    </row>
    <row r="59" spans="1:11" x14ac:dyDescent="0.5">
      <c r="A59" t="s">
        <v>66</v>
      </c>
      <c r="B59" t="s">
        <v>115</v>
      </c>
      <c r="C59" t="s">
        <v>116</v>
      </c>
      <c r="D59">
        <v>26</v>
      </c>
      <c r="E59">
        <v>0</v>
      </c>
      <c r="G59">
        <v>5</v>
      </c>
      <c r="H59">
        <v>20</v>
      </c>
      <c r="K59" t="s">
        <v>116</v>
      </c>
    </row>
    <row r="60" spans="1:11" x14ac:dyDescent="0.5">
      <c r="A60" t="s">
        <v>67</v>
      </c>
      <c r="B60" t="s">
        <v>117</v>
      </c>
      <c r="C60">
        <v>13</v>
      </c>
      <c r="D60">
        <v>8</v>
      </c>
      <c r="E60">
        <v>0</v>
      </c>
      <c r="G60">
        <v>3</v>
      </c>
      <c r="H60">
        <v>10</v>
      </c>
      <c r="K60">
        <v>10</v>
      </c>
    </row>
    <row r="61" spans="1:11" x14ac:dyDescent="0.5">
      <c r="A61" t="s">
        <v>68</v>
      </c>
      <c r="B61" t="s">
        <v>117</v>
      </c>
      <c r="C61" t="s">
        <v>116</v>
      </c>
      <c r="D61">
        <v>8</v>
      </c>
      <c r="E61">
        <v>0</v>
      </c>
      <c r="G61">
        <v>3</v>
      </c>
      <c r="H61">
        <v>10</v>
      </c>
      <c r="K61">
        <v>10</v>
      </c>
    </row>
    <row r="62" spans="1:11" x14ac:dyDescent="0.5">
      <c r="A62" t="s">
        <v>69</v>
      </c>
      <c r="B62" t="s">
        <v>115</v>
      </c>
      <c r="C62" t="s">
        <v>116</v>
      </c>
      <c r="D62">
        <v>2</v>
      </c>
      <c r="E62">
        <v>0</v>
      </c>
      <c r="G62">
        <v>1</v>
      </c>
      <c r="H62">
        <v>4</v>
      </c>
      <c r="K62" t="s">
        <v>116</v>
      </c>
    </row>
    <row r="63" spans="1:11" x14ac:dyDescent="0.5">
      <c r="A63" t="s">
        <v>70</v>
      </c>
      <c r="B63" t="s">
        <v>115</v>
      </c>
      <c r="C63" t="s">
        <v>116</v>
      </c>
      <c r="D63">
        <v>2</v>
      </c>
      <c r="E63">
        <v>0</v>
      </c>
      <c r="G63">
        <v>1</v>
      </c>
      <c r="H63">
        <v>2</v>
      </c>
      <c r="K63" t="s">
        <v>116</v>
      </c>
    </row>
    <row r="64" spans="1:11" x14ac:dyDescent="0.5">
      <c r="A64" t="s">
        <v>71</v>
      </c>
      <c r="B64" t="s">
        <v>115</v>
      </c>
      <c r="C64" t="s">
        <v>116</v>
      </c>
      <c r="D64">
        <v>4</v>
      </c>
      <c r="E64">
        <v>0</v>
      </c>
      <c r="G64">
        <v>1</v>
      </c>
      <c r="H64">
        <v>4</v>
      </c>
      <c r="J64" s="2">
        <v>15</v>
      </c>
      <c r="K64" t="s">
        <v>116</v>
      </c>
    </row>
    <row r="65" spans="1:11" x14ac:dyDescent="0.5">
      <c r="A65" t="s">
        <v>72</v>
      </c>
      <c r="B65" t="s">
        <v>115</v>
      </c>
      <c r="C65" t="s">
        <v>116</v>
      </c>
      <c r="D65">
        <v>3</v>
      </c>
      <c r="E65">
        <v>0</v>
      </c>
      <c r="G65">
        <v>1</v>
      </c>
      <c r="H65">
        <v>4</v>
      </c>
      <c r="K65">
        <v>4</v>
      </c>
    </row>
    <row r="66" spans="1:11" x14ac:dyDescent="0.5">
      <c r="A66" t="s">
        <v>73</v>
      </c>
      <c r="B66" t="s">
        <v>115</v>
      </c>
      <c r="C66" t="s">
        <v>116</v>
      </c>
      <c r="D66">
        <v>0</v>
      </c>
      <c r="E66">
        <v>0</v>
      </c>
      <c r="G66">
        <v>1</v>
      </c>
      <c r="H66">
        <v>2</v>
      </c>
      <c r="K66" t="s">
        <v>116</v>
      </c>
    </row>
    <row r="67" spans="1:11" x14ac:dyDescent="0.5">
      <c r="A67" t="s">
        <v>74</v>
      </c>
      <c r="B67" t="s">
        <v>115</v>
      </c>
      <c r="C67" t="s">
        <v>116</v>
      </c>
      <c r="D67">
        <v>0</v>
      </c>
      <c r="E67">
        <v>0</v>
      </c>
      <c r="G67" t="s">
        <v>116</v>
      </c>
      <c r="H67">
        <v>0</v>
      </c>
      <c r="K67" t="s">
        <v>116</v>
      </c>
    </row>
    <row r="68" spans="1:11" x14ac:dyDescent="0.5">
      <c r="A68" t="s">
        <v>75</v>
      </c>
      <c r="B68" t="s">
        <v>118</v>
      </c>
      <c r="C68" t="s">
        <v>116</v>
      </c>
      <c r="D68">
        <v>7</v>
      </c>
      <c r="E68">
        <v>0</v>
      </c>
      <c r="G68">
        <v>2</v>
      </c>
      <c r="H68">
        <v>8</v>
      </c>
      <c r="K68">
        <v>8</v>
      </c>
    </row>
    <row r="69" spans="1:11" x14ac:dyDescent="0.5">
      <c r="A69" t="s">
        <v>77</v>
      </c>
      <c r="B69" t="s">
        <v>115</v>
      </c>
      <c r="C69">
        <v>-24</v>
      </c>
      <c r="D69">
        <v>14</v>
      </c>
      <c r="E69">
        <v>0</v>
      </c>
      <c r="G69">
        <v>5</v>
      </c>
      <c r="H69">
        <v>20</v>
      </c>
      <c r="K69">
        <v>10</v>
      </c>
    </row>
    <row r="70" spans="1:11" x14ac:dyDescent="0.5">
      <c r="A70" t="s">
        <v>78</v>
      </c>
      <c r="B70" t="s">
        <v>115</v>
      </c>
      <c r="C70">
        <v>528</v>
      </c>
      <c r="D70">
        <v>129</v>
      </c>
      <c r="E70">
        <v>0</v>
      </c>
      <c r="G70">
        <v>400</v>
      </c>
      <c r="H70">
        <v>900</v>
      </c>
      <c r="K70">
        <v>31</v>
      </c>
    </row>
    <row r="71" spans="1:11" x14ac:dyDescent="0.5">
      <c r="A71" t="s">
        <v>79</v>
      </c>
      <c r="B71" t="s">
        <v>117</v>
      </c>
      <c r="C71">
        <v>190</v>
      </c>
      <c r="D71">
        <v>190</v>
      </c>
      <c r="E71">
        <v>0</v>
      </c>
      <c r="G71" t="s">
        <v>116</v>
      </c>
      <c r="H71">
        <v>0</v>
      </c>
      <c r="K71">
        <v>10</v>
      </c>
    </row>
    <row r="72" spans="1:11" x14ac:dyDescent="0.5">
      <c r="A72" t="s">
        <v>80</v>
      </c>
      <c r="B72" t="s">
        <v>117</v>
      </c>
      <c r="C72">
        <v>1770</v>
      </c>
      <c r="D72">
        <v>2450</v>
      </c>
      <c r="E72">
        <v>0</v>
      </c>
      <c r="G72">
        <v>600</v>
      </c>
      <c r="H72">
        <v>1200</v>
      </c>
      <c r="K72">
        <v>200</v>
      </c>
    </row>
    <row r="73" spans="1:11" x14ac:dyDescent="0.5">
      <c r="A73" t="s">
        <v>81</v>
      </c>
      <c r="B73" t="s">
        <v>117</v>
      </c>
      <c r="C73">
        <v>3843</v>
      </c>
      <c r="D73">
        <v>2275</v>
      </c>
      <c r="E73">
        <v>0</v>
      </c>
      <c r="G73">
        <v>1250</v>
      </c>
      <c r="H73">
        <v>2500</v>
      </c>
      <c r="K73">
        <v>250</v>
      </c>
    </row>
    <row r="74" spans="1:11" x14ac:dyDescent="0.5">
      <c r="A74" t="s">
        <v>82</v>
      </c>
      <c r="B74" t="s">
        <v>117</v>
      </c>
      <c r="C74">
        <v>406</v>
      </c>
      <c r="D74">
        <v>80</v>
      </c>
      <c r="E74">
        <v>0</v>
      </c>
      <c r="G74">
        <v>100</v>
      </c>
      <c r="H74">
        <v>400</v>
      </c>
      <c r="K74">
        <v>400</v>
      </c>
    </row>
    <row r="75" spans="1:11" x14ac:dyDescent="0.5">
      <c r="A75" t="s">
        <v>83</v>
      </c>
      <c r="B75" t="s">
        <v>117</v>
      </c>
      <c r="C75">
        <v>-201</v>
      </c>
      <c r="D75">
        <v>0</v>
      </c>
      <c r="E75">
        <v>0</v>
      </c>
      <c r="G75" t="s">
        <v>116</v>
      </c>
      <c r="H75">
        <v>0</v>
      </c>
      <c r="K75" t="s">
        <v>116</v>
      </c>
    </row>
    <row r="76" spans="1:11" x14ac:dyDescent="0.5">
      <c r="A76" t="s">
        <v>84</v>
      </c>
      <c r="B76" t="s">
        <v>115</v>
      </c>
      <c r="C76">
        <v>-73</v>
      </c>
      <c r="D76">
        <v>185</v>
      </c>
      <c r="E76">
        <v>0</v>
      </c>
      <c r="G76">
        <v>62</v>
      </c>
      <c r="H76">
        <v>186</v>
      </c>
      <c r="K76">
        <v>31</v>
      </c>
    </row>
    <row r="77" spans="1:11" x14ac:dyDescent="0.5">
      <c r="A77" t="s">
        <v>85</v>
      </c>
      <c r="B77" t="s">
        <v>115</v>
      </c>
      <c r="C77">
        <v>552</v>
      </c>
      <c r="D77">
        <v>65</v>
      </c>
      <c r="E77">
        <v>0</v>
      </c>
      <c r="G77">
        <v>300</v>
      </c>
      <c r="H77">
        <v>771</v>
      </c>
      <c r="K77">
        <v>5</v>
      </c>
    </row>
    <row r="78" spans="1:11" x14ac:dyDescent="0.5">
      <c r="A78" t="s">
        <v>86</v>
      </c>
      <c r="B78" t="s">
        <v>115</v>
      </c>
      <c r="C78">
        <v>49</v>
      </c>
      <c r="D78">
        <v>7</v>
      </c>
      <c r="E78">
        <v>0</v>
      </c>
      <c r="G78">
        <v>10</v>
      </c>
      <c r="H78">
        <v>24</v>
      </c>
      <c r="K78">
        <v>24</v>
      </c>
    </row>
    <row r="79" spans="1:11" x14ac:dyDescent="0.5">
      <c r="A79" t="s">
        <v>87</v>
      </c>
      <c r="B79" t="s">
        <v>115</v>
      </c>
      <c r="C79">
        <v>22</v>
      </c>
      <c r="D79">
        <v>52</v>
      </c>
      <c r="E79">
        <v>0</v>
      </c>
      <c r="G79" t="s">
        <v>116</v>
      </c>
      <c r="H79">
        <v>0</v>
      </c>
      <c r="K79" t="s">
        <v>116</v>
      </c>
    </row>
    <row r="80" spans="1:11" x14ac:dyDescent="0.5">
      <c r="A80" t="s">
        <v>88</v>
      </c>
      <c r="B80" t="s">
        <v>115</v>
      </c>
      <c r="C80">
        <v>246</v>
      </c>
      <c r="D80">
        <v>216</v>
      </c>
      <c r="E80">
        <v>0</v>
      </c>
      <c r="G80">
        <v>100</v>
      </c>
      <c r="H80">
        <v>400</v>
      </c>
      <c r="K80">
        <v>25</v>
      </c>
    </row>
    <row r="81" spans="1:11" x14ac:dyDescent="0.5">
      <c r="A81" t="s">
        <v>89</v>
      </c>
      <c r="B81" t="s">
        <v>115</v>
      </c>
      <c r="C81">
        <v>211</v>
      </c>
      <c r="D81">
        <v>39</v>
      </c>
      <c r="E81">
        <v>0</v>
      </c>
      <c r="G81">
        <v>10</v>
      </c>
      <c r="H81">
        <v>30</v>
      </c>
      <c r="K81">
        <v>5</v>
      </c>
    </row>
    <row r="82" spans="1:11" x14ac:dyDescent="0.5">
      <c r="A82" t="s">
        <v>90</v>
      </c>
      <c r="B82" t="s">
        <v>117</v>
      </c>
      <c r="C82">
        <v>3</v>
      </c>
      <c r="D82">
        <v>5</v>
      </c>
      <c r="E82">
        <v>0</v>
      </c>
      <c r="G82">
        <v>3</v>
      </c>
      <c r="H82">
        <v>10</v>
      </c>
      <c r="K82">
        <v>10</v>
      </c>
    </row>
    <row r="83" spans="1:11" x14ac:dyDescent="0.5">
      <c r="A83" t="s">
        <v>91</v>
      </c>
      <c r="B83" t="s">
        <v>117</v>
      </c>
      <c r="C83">
        <v>19</v>
      </c>
      <c r="D83">
        <v>4</v>
      </c>
      <c r="E83">
        <v>0</v>
      </c>
      <c r="G83">
        <v>5</v>
      </c>
      <c r="H83">
        <v>20</v>
      </c>
      <c r="K83">
        <v>10</v>
      </c>
    </row>
    <row r="84" spans="1:11" x14ac:dyDescent="0.5">
      <c r="A84" t="s">
        <v>92</v>
      </c>
      <c r="B84" t="s">
        <v>115</v>
      </c>
      <c r="C84">
        <v>-4</v>
      </c>
      <c r="D84">
        <v>10</v>
      </c>
      <c r="E84">
        <v>0</v>
      </c>
      <c r="G84">
        <v>6</v>
      </c>
      <c r="H84">
        <v>30</v>
      </c>
      <c r="K84">
        <v>3</v>
      </c>
    </row>
    <row r="85" spans="1:11" x14ac:dyDescent="0.5">
      <c r="A85" t="s">
        <v>93</v>
      </c>
      <c r="B85" t="s">
        <v>115</v>
      </c>
      <c r="C85">
        <v>21</v>
      </c>
      <c r="D85">
        <v>9</v>
      </c>
      <c r="E85">
        <v>0</v>
      </c>
      <c r="G85">
        <v>6</v>
      </c>
      <c r="H85">
        <v>30</v>
      </c>
      <c r="K85">
        <v>10</v>
      </c>
    </row>
    <row r="86" spans="1:11" x14ac:dyDescent="0.5">
      <c r="A86" t="s">
        <v>95</v>
      </c>
      <c r="B86" t="s">
        <v>115</v>
      </c>
      <c r="C86">
        <v>-11</v>
      </c>
      <c r="D86">
        <v>0</v>
      </c>
      <c r="E86">
        <v>0</v>
      </c>
      <c r="G86" t="s">
        <v>116</v>
      </c>
      <c r="H86">
        <v>0</v>
      </c>
      <c r="K86">
        <v>10</v>
      </c>
    </row>
    <row r="87" spans="1:11" x14ac:dyDescent="0.5">
      <c r="A87" t="s">
        <v>94</v>
      </c>
      <c r="B87" t="s">
        <v>115</v>
      </c>
      <c r="C87" t="s">
        <v>116</v>
      </c>
      <c r="D87">
        <v>20</v>
      </c>
      <c r="E87">
        <v>0</v>
      </c>
      <c r="G87">
        <v>10</v>
      </c>
      <c r="H87">
        <v>50</v>
      </c>
      <c r="K87">
        <v>10</v>
      </c>
    </row>
    <row r="88" spans="1:11" x14ac:dyDescent="0.5">
      <c r="A88" t="s">
        <v>96</v>
      </c>
      <c r="B88" t="s">
        <v>115</v>
      </c>
      <c r="C88">
        <v>17</v>
      </c>
      <c r="D88">
        <v>9</v>
      </c>
      <c r="E88">
        <v>0</v>
      </c>
      <c r="G88">
        <v>10</v>
      </c>
      <c r="H88">
        <v>30</v>
      </c>
      <c r="K88">
        <v>5</v>
      </c>
    </row>
    <row r="89" spans="1:11" x14ac:dyDescent="0.5">
      <c r="A89" t="s">
        <v>97</v>
      </c>
      <c r="B89" t="s">
        <v>117</v>
      </c>
      <c r="C89">
        <v>0</v>
      </c>
      <c r="D89">
        <v>0</v>
      </c>
      <c r="E89">
        <v>0</v>
      </c>
      <c r="G89" t="s">
        <v>116</v>
      </c>
      <c r="H89">
        <v>0</v>
      </c>
      <c r="K89">
        <v>10</v>
      </c>
    </row>
    <row r="90" spans="1:11" x14ac:dyDescent="0.5">
      <c r="A90" t="s">
        <v>98</v>
      </c>
      <c r="B90" t="s">
        <v>117</v>
      </c>
      <c r="C90">
        <v>1737</v>
      </c>
      <c r="D90">
        <v>2250</v>
      </c>
      <c r="E90">
        <v>0</v>
      </c>
      <c r="G90">
        <v>600</v>
      </c>
      <c r="H90">
        <v>2000</v>
      </c>
      <c r="K90">
        <v>1000</v>
      </c>
    </row>
    <row r="91" spans="1:11" x14ac:dyDescent="0.5">
      <c r="A91" t="s">
        <v>99</v>
      </c>
      <c r="B91" t="s">
        <v>117</v>
      </c>
      <c r="C91">
        <v>2587</v>
      </c>
      <c r="D91">
        <v>3100</v>
      </c>
      <c r="E91">
        <v>0</v>
      </c>
      <c r="G91">
        <v>1200</v>
      </c>
      <c r="H91">
        <v>4000</v>
      </c>
      <c r="K91">
        <v>1000</v>
      </c>
    </row>
    <row r="92" spans="1:11" x14ac:dyDescent="0.5">
      <c r="A92" t="s">
        <v>100</v>
      </c>
      <c r="B92" t="s">
        <v>117</v>
      </c>
      <c r="C92">
        <v>235</v>
      </c>
      <c r="D92">
        <v>45</v>
      </c>
      <c r="E92">
        <v>0</v>
      </c>
      <c r="G92">
        <v>60</v>
      </c>
      <c r="H92">
        <v>400</v>
      </c>
      <c r="K92" t="s">
        <v>116</v>
      </c>
    </row>
    <row r="93" spans="1:11" x14ac:dyDescent="0.5">
      <c r="A93" t="s">
        <v>101</v>
      </c>
      <c r="B93" t="s">
        <v>117</v>
      </c>
      <c r="C93">
        <v>-160</v>
      </c>
      <c r="D93">
        <v>0</v>
      </c>
      <c r="E93">
        <v>0</v>
      </c>
      <c r="G93" t="s">
        <v>116</v>
      </c>
      <c r="H93">
        <v>0</v>
      </c>
      <c r="K93">
        <v>10</v>
      </c>
    </row>
    <row r="94" spans="1:11" x14ac:dyDescent="0.5">
      <c r="A94" t="s">
        <v>102</v>
      </c>
      <c r="B94" t="s">
        <v>115</v>
      </c>
      <c r="C94">
        <v>56</v>
      </c>
      <c r="D94">
        <v>163</v>
      </c>
      <c r="E94">
        <v>0</v>
      </c>
      <c r="G94">
        <v>50</v>
      </c>
      <c r="H94">
        <v>150</v>
      </c>
      <c r="K94">
        <v>50</v>
      </c>
    </row>
    <row r="95" spans="1:11" x14ac:dyDescent="0.5">
      <c r="A95" t="s">
        <v>103</v>
      </c>
      <c r="B95" t="s">
        <v>115</v>
      </c>
      <c r="C95">
        <v>447</v>
      </c>
      <c r="D95">
        <v>215</v>
      </c>
      <c r="E95">
        <v>0</v>
      </c>
      <c r="G95">
        <v>100</v>
      </c>
      <c r="H95">
        <v>300</v>
      </c>
      <c r="K95">
        <v>10</v>
      </c>
    </row>
    <row r="96" spans="1:11" x14ac:dyDescent="0.5">
      <c r="A96" t="s">
        <v>104</v>
      </c>
      <c r="B96" t="s">
        <v>115</v>
      </c>
      <c r="C96">
        <v>3</v>
      </c>
      <c r="D96">
        <v>11</v>
      </c>
      <c r="E96">
        <v>0</v>
      </c>
      <c r="G96">
        <v>3</v>
      </c>
      <c r="H96">
        <v>15</v>
      </c>
      <c r="K96" t="s">
        <v>116</v>
      </c>
    </row>
    <row r="97" spans="1:13" x14ac:dyDescent="0.5">
      <c r="A97" t="s">
        <v>105</v>
      </c>
      <c r="B97" t="s">
        <v>115</v>
      </c>
      <c r="C97">
        <v>978</v>
      </c>
      <c r="D97">
        <v>525</v>
      </c>
      <c r="E97">
        <v>0</v>
      </c>
      <c r="G97">
        <v>100</v>
      </c>
      <c r="H97">
        <v>400</v>
      </c>
      <c r="K97">
        <v>25</v>
      </c>
    </row>
    <row r="98" spans="1:13" x14ac:dyDescent="0.5">
      <c r="A98" t="s">
        <v>106</v>
      </c>
      <c r="B98" t="s">
        <v>115</v>
      </c>
      <c r="C98">
        <v>301</v>
      </c>
      <c r="D98">
        <v>164</v>
      </c>
      <c r="E98">
        <v>0</v>
      </c>
      <c r="G98">
        <v>50</v>
      </c>
      <c r="H98">
        <v>200</v>
      </c>
      <c r="K98">
        <v>25</v>
      </c>
    </row>
    <row r="99" spans="1:13" x14ac:dyDescent="0.5">
      <c r="A99" t="s">
        <v>107</v>
      </c>
      <c r="B99" t="s">
        <v>115</v>
      </c>
      <c r="C99" t="s">
        <v>116</v>
      </c>
      <c r="D99">
        <v>23</v>
      </c>
      <c r="E99">
        <v>0</v>
      </c>
      <c r="G99">
        <v>10</v>
      </c>
      <c r="H99">
        <v>30</v>
      </c>
      <c r="K99">
        <v>10</v>
      </c>
    </row>
    <row r="100" spans="1:13" x14ac:dyDescent="0.5">
      <c r="A100" t="s">
        <v>108</v>
      </c>
      <c r="B100" t="s">
        <v>115</v>
      </c>
      <c r="C100" t="s">
        <v>116</v>
      </c>
      <c r="D100">
        <v>42</v>
      </c>
      <c r="E100">
        <v>0</v>
      </c>
      <c r="G100">
        <v>10</v>
      </c>
      <c r="H100">
        <v>50</v>
      </c>
      <c r="K100">
        <v>10</v>
      </c>
    </row>
    <row r="101" spans="1:13" x14ac:dyDescent="0.5">
      <c r="A101" t="s">
        <v>122</v>
      </c>
      <c r="B101" t="s">
        <v>115</v>
      </c>
      <c r="C101" t="s">
        <v>116</v>
      </c>
      <c r="D101">
        <v>9</v>
      </c>
      <c r="E101">
        <v>0</v>
      </c>
      <c r="G101">
        <v>6</v>
      </c>
      <c r="H101">
        <v>20</v>
      </c>
      <c r="K101">
        <v>10</v>
      </c>
    </row>
    <row r="102" spans="1:13" x14ac:dyDescent="0.5">
      <c r="A102" t="s">
        <v>111</v>
      </c>
      <c r="B102" t="s">
        <v>115</v>
      </c>
      <c r="C102">
        <v>120</v>
      </c>
      <c r="D102">
        <v>50</v>
      </c>
      <c r="E102">
        <v>0</v>
      </c>
      <c r="G102">
        <v>50</v>
      </c>
      <c r="H102">
        <v>120</v>
      </c>
      <c r="K102" t="s">
        <v>116</v>
      </c>
    </row>
    <row r="103" spans="1:13" x14ac:dyDescent="0.5">
      <c r="A103" t="s">
        <v>109</v>
      </c>
      <c r="B103" t="s">
        <v>115</v>
      </c>
      <c r="C103">
        <v>-29</v>
      </c>
      <c r="D103">
        <v>0</v>
      </c>
      <c r="E103">
        <v>0</v>
      </c>
      <c r="G103">
        <v>3</v>
      </c>
      <c r="H103">
        <v>18</v>
      </c>
      <c r="K103">
        <v>6</v>
      </c>
    </row>
    <row r="104" spans="1:13" x14ac:dyDescent="0.5">
      <c r="A104" t="s">
        <v>123</v>
      </c>
      <c r="B104" t="s">
        <v>117</v>
      </c>
      <c r="C104">
        <v>4</v>
      </c>
      <c r="D104">
        <v>7</v>
      </c>
      <c r="E104">
        <v>0</v>
      </c>
      <c r="G104" t="s">
        <v>116</v>
      </c>
      <c r="H104">
        <v>8</v>
      </c>
      <c r="K104" t="s">
        <v>116</v>
      </c>
    </row>
    <row r="105" spans="1:13" x14ac:dyDescent="0.5">
      <c r="A105" t="s">
        <v>124</v>
      </c>
      <c r="B105" t="s">
        <v>117</v>
      </c>
      <c r="C105" t="s">
        <v>116</v>
      </c>
      <c r="D105">
        <v>1</v>
      </c>
      <c r="E105">
        <v>0</v>
      </c>
      <c r="G105" t="s">
        <v>116</v>
      </c>
      <c r="H105">
        <v>3</v>
      </c>
      <c r="K105" t="s">
        <v>116</v>
      </c>
    </row>
    <row r="106" spans="1:13" x14ac:dyDescent="0.5">
      <c r="A106" t="s">
        <v>112</v>
      </c>
      <c r="B106" t="s">
        <v>121</v>
      </c>
      <c r="C106" t="s">
        <v>116</v>
      </c>
      <c r="D106">
        <v>3</v>
      </c>
      <c r="E106">
        <v>0</v>
      </c>
      <c r="G106">
        <v>2</v>
      </c>
      <c r="H106">
        <v>6</v>
      </c>
      <c r="K106" t="s">
        <v>116</v>
      </c>
    </row>
    <row r="107" spans="1:13" x14ac:dyDescent="0.5">
      <c r="A107" t="s">
        <v>110</v>
      </c>
      <c r="B107" t="s">
        <v>117</v>
      </c>
      <c r="C107" t="s">
        <v>116</v>
      </c>
      <c r="D107">
        <v>12</v>
      </c>
      <c r="E107">
        <v>0</v>
      </c>
      <c r="G107">
        <v>2</v>
      </c>
      <c r="H107">
        <v>8</v>
      </c>
      <c r="K107" t="s">
        <v>116</v>
      </c>
    </row>
    <row r="108" spans="1:13" x14ac:dyDescent="0.5">
      <c r="A108" t="s">
        <v>113</v>
      </c>
      <c r="B108" t="s">
        <v>117</v>
      </c>
      <c r="C108" t="s">
        <v>116</v>
      </c>
      <c r="D108">
        <v>49</v>
      </c>
      <c r="E108">
        <v>0</v>
      </c>
      <c r="G108">
        <v>10</v>
      </c>
      <c r="H108">
        <v>30</v>
      </c>
      <c r="K108" t="s">
        <v>116</v>
      </c>
    </row>
    <row r="109" spans="1:13" x14ac:dyDescent="0.5">
      <c r="A109" t="s">
        <v>125</v>
      </c>
      <c r="B109" t="s">
        <v>115</v>
      </c>
      <c r="C109" t="s">
        <v>116</v>
      </c>
      <c r="D109">
        <v>2</v>
      </c>
      <c r="E109">
        <v>0</v>
      </c>
      <c r="G109">
        <v>2</v>
      </c>
      <c r="H109">
        <v>6</v>
      </c>
      <c r="K109" t="s">
        <v>116</v>
      </c>
    </row>
    <row r="110" spans="1:13" x14ac:dyDescent="0.5">
      <c r="A110">
        <f>SUBTOTAL(103,MAIN[Item])</f>
        <v>108</v>
      </c>
      <c r="M110">
        <f>SUBTOTAL(103,MAIN[Reorder Link])</f>
        <v>0</v>
      </c>
    </row>
  </sheetData>
  <phoneticPr fontId="2" type="noConversion"/>
  <pageMargins left="0.7" right="0.7" top="0.75" bottom="0.75" header="0.3" footer="0.3"/>
  <pageSetup scale="4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D7FC-4D92-400B-9E1D-4C22CA36C6A8}">
  <dimension ref="A1:D110"/>
  <sheetViews>
    <sheetView workbookViewId="0">
      <selection activeCell="D49" sqref="D49"/>
    </sheetView>
  </sheetViews>
  <sheetFormatPr defaultRowHeight="14.35" x14ac:dyDescent="0.5"/>
  <cols>
    <col min="1" max="1" width="27.3515625" customWidth="1"/>
    <col min="4" max="4" width="11" customWidth="1"/>
  </cols>
  <sheetData>
    <row r="1" spans="1:4" x14ac:dyDescent="0.5">
      <c r="A1" s="1" t="s">
        <v>0</v>
      </c>
      <c r="B1" s="1" t="s">
        <v>2</v>
      </c>
      <c r="C1" s="1" t="s">
        <v>3</v>
      </c>
      <c r="D1" s="1" t="s">
        <v>127</v>
      </c>
    </row>
    <row r="2" spans="1:4" hidden="1" x14ac:dyDescent="0.5">
      <c r="A2" t="s">
        <v>12</v>
      </c>
      <c r="B2" t="s">
        <v>116</v>
      </c>
      <c r="C2">
        <v>28</v>
      </c>
      <c r="D2" t="e">
        <f>C2-B2</f>
        <v>#VALUE!</v>
      </c>
    </row>
    <row r="3" spans="1:4" hidden="1" x14ac:dyDescent="0.5">
      <c r="A3" t="s">
        <v>14</v>
      </c>
      <c r="B3" t="s">
        <v>116</v>
      </c>
      <c r="C3">
        <v>3</v>
      </c>
      <c r="D3" t="e">
        <f t="shared" ref="D3:D21" si="0">C3-B3</f>
        <v>#VALUE!</v>
      </c>
    </row>
    <row r="4" spans="1:4" hidden="1" x14ac:dyDescent="0.5">
      <c r="A4" t="s">
        <v>13</v>
      </c>
      <c r="B4" t="s">
        <v>116</v>
      </c>
      <c r="C4">
        <v>1</v>
      </c>
      <c r="D4" t="e">
        <f t="shared" si="0"/>
        <v>#VALUE!</v>
      </c>
    </row>
    <row r="5" spans="1:4" hidden="1" x14ac:dyDescent="0.5">
      <c r="A5" t="s">
        <v>15</v>
      </c>
      <c r="B5" t="s">
        <v>116</v>
      </c>
      <c r="C5">
        <v>4</v>
      </c>
      <c r="D5" t="e">
        <f t="shared" si="0"/>
        <v>#VALUE!</v>
      </c>
    </row>
    <row r="6" spans="1:4" hidden="1" x14ac:dyDescent="0.5">
      <c r="A6" t="s">
        <v>16</v>
      </c>
      <c r="B6" t="s">
        <v>116</v>
      </c>
      <c r="C6">
        <v>0</v>
      </c>
      <c r="D6" t="e">
        <f t="shared" si="0"/>
        <v>#VALUE!</v>
      </c>
    </row>
    <row r="7" spans="1:4" hidden="1" x14ac:dyDescent="0.5">
      <c r="A7" t="s">
        <v>17</v>
      </c>
      <c r="B7" t="s">
        <v>116</v>
      </c>
      <c r="C7">
        <v>2</v>
      </c>
      <c r="D7" t="e">
        <f t="shared" si="0"/>
        <v>#VALUE!</v>
      </c>
    </row>
    <row r="8" spans="1:4" hidden="1" x14ac:dyDescent="0.5">
      <c r="A8" t="s">
        <v>18</v>
      </c>
      <c r="B8" t="s">
        <v>116</v>
      </c>
      <c r="C8">
        <v>4</v>
      </c>
      <c r="D8" t="e">
        <f t="shared" si="0"/>
        <v>#VALUE!</v>
      </c>
    </row>
    <row r="9" spans="1:4" hidden="1" x14ac:dyDescent="0.5">
      <c r="A9" t="s">
        <v>28</v>
      </c>
      <c r="B9" t="s">
        <v>116</v>
      </c>
      <c r="C9">
        <v>0</v>
      </c>
      <c r="D9" t="e">
        <f t="shared" si="0"/>
        <v>#VALUE!</v>
      </c>
    </row>
    <row r="10" spans="1:4" hidden="1" x14ac:dyDescent="0.5">
      <c r="A10" t="s">
        <v>19</v>
      </c>
      <c r="B10" t="s">
        <v>116</v>
      </c>
      <c r="C10">
        <v>3</v>
      </c>
      <c r="D10" t="e">
        <f t="shared" si="0"/>
        <v>#VALUE!</v>
      </c>
    </row>
    <row r="11" spans="1:4" hidden="1" x14ac:dyDescent="0.5">
      <c r="A11" t="s">
        <v>20</v>
      </c>
      <c r="B11" t="s">
        <v>116</v>
      </c>
      <c r="C11">
        <v>4</v>
      </c>
      <c r="D11" t="e">
        <f t="shared" si="0"/>
        <v>#VALUE!</v>
      </c>
    </row>
    <row r="12" spans="1:4" hidden="1" x14ac:dyDescent="0.5">
      <c r="A12" t="s">
        <v>21</v>
      </c>
      <c r="B12" t="s">
        <v>116</v>
      </c>
      <c r="C12">
        <v>0</v>
      </c>
      <c r="D12" t="e">
        <f t="shared" si="0"/>
        <v>#VALUE!</v>
      </c>
    </row>
    <row r="13" spans="1:4" hidden="1" x14ac:dyDescent="0.5">
      <c r="A13" t="s">
        <v>22</v>
      </c>
      <c r="B13" t="s">
        <v>116</v>
      </c>
      <c r="C13">
        <v>19</v>
      </c>
      <c r="D13" t="e">
        <f t="shared" si="0"/>
        <v>#VALUE!</v>
      </c>
    </row>
    <row r="14" spans="1:4" hidden="1" x14ac:dyDescent="0.5">
      <c r="A14" t="s">
        <v>27</v>
      </c>
      <c r="B14" t="s">
        <v>116</v>
      </c>
      <c r="C14">
        <v>0</v>
      </c>
      <c r="D14" t="e">
        <f t="shared" si="0"/>
        <v>#VALUE!</v>
      </c>
    </row>
    <row r="15" spans="1:4" hidden="1" x14ac:dyDescent="0.5">
      <c r="A15" t="s">
        <v>23</v>
      </c>
      <c r="B15" t="s">
        <v>116</v>
      </c>
      <c r="C15">
        <v>13</v>
      </c>
      <c r="D15" t="e">
        <f t="shared" si="0"/>
        <v>#VALUE!</v>
      </c>
    </row>
    <row r="16" spans="1:4" hidden="1" x14ac:dyDescent="0.5">
      <c r="A16" t="s">
        <v>24</v>
      </c>
      <c r="B16" t="s">
        <v>116</v>
      </c>
      <c r="C16">
        <v>5</v>
      </c>
      <c r="D16" t="e">
        <f t="shared" si="0"/>
        <v>#VALUE!</v>
      </c>
    </row>
    <row r="17" spans="1:4" hidden="1" x14ac:dyDescent="0.5">
      <c r="A17" t="s">
        <v>25</v>
      </c>
      <c r="B17" t="s">
        <v>116</v>
      </c>
      <c r="C17">
        <v>7</v>
      </c>
      <c r="D17" t="e">
        <f t="shared" si="0"/>
        <v>#VALUE!</v>
      </c>
    </row>
    <row r="18" spans="1:4" hidden="1" x14ac:dyDescent="0.5">
      <c r="A18" t="s">
        <v>26</v>
      </c>
      <c r="B18" t="s">
        <v>116</v>
      </c>
      <c r="C18">
        <v>7</v>
      </c>
      <c r="D18" t="e">
        <f t="shared" si="0"/>
        <v>#VALUE!</v>
      </c>
    </row>
    <row r="19" spans="1:4" hidden="1" x14ac:dyDescent="0.5">
      <c r="A19" t="s">
        <v>29</v>
      </c>
      <c r="B19" t="s">
        <v>116</v>
      </c>
      <c r="C19">
        <v>94</v>
      </c>
      <c r="D19" t="e">
        <f t="shared" si="0"/>
        <v>#VALUE!</v>
      </c>
    </row>
    <row r="20" spans="1:4" hidden="1" x14ac:dyDescent="0.5">
      <c r="A20" t="s">
        <v>30</v>
      </c>
      <c r="B20" t="s">
        <v>116</v>
      </c>
      <c r="C20">
        <v>9</v>
      </c>
      <c r="D20" t="e">
        <f t="shared" si="0"/>
        <v>#VALUE!</v>
      </c>
    </row>
    <row r="21" spans="1:4" hidden="1" x14ac:dyDescent="0.5">
      <c r="A21" t="s">
        <v>31</v>
      </c>
      <c r="B21" t="s">
        <v>116</v>
      </c>
      <c r="C21">
        <v>22</v>
      </c>
      <c r="D21" t="e">
        <f t="shared" si="0"/>
        <v>#VALUE!</v>
      </c>
    </row>
    <row r="22" spans="1:4" x14ac:dyDescent="0.5">
      <c r="A22" t="s">
        <v>119</v>
      </c>
      <c r="B22">
        <f>MAIN[[#This Row],[SF Qty]]</f>
        <v>917</v>
      </c>
      <c r="C22">
        <f>MAIN[[#This Row],[WH Qty]]</f>
        <v>275</v>
      </c>
      <c r="D22">
        <f t="shared" ref="D22:D53" si="1">C22-B22</f>
        <v>-642</v>
      </c>
    </row>
    <row r="23" spans="1:4" x14ac:dyDescent="0.5">
      <c r="A23" t="s">
        <v>120</v>
      </c>
      <c r="B23">
        <f>MAIN[[#This Row],[SF Qty]]</f>
        <v>835</v>
      </c>
      <c r="C23">
        <f>MAIN[[#This Row],[WH Qty]]</f>
        <v>270</v>
      </c>
      <c r="D23">
        <f t="shared" si="1"/>
        <v>-565</v>
      </c>
    </row>
    <row r="24" spans="1:4" x14ac:dyDescent="0.5">
      <c r="A24" t="s">
        <v>32</v>
      </c>
      <c r="B24">
        <f>MAIN[[#This Row],[SF Qty]]</f>
        <v>61</v>
      </c>
      <c r="C24">
        <f>MAIN[[#This Row],[WH Qty]]</f>
        <v>0</v>
      </c>
      <c r="D24">
        <f t="shared" si="1"/>
        <v>-61</v>
      </c>
    </row>
    <row r="25" spans="1:4" hidden="1" x14ac:dyDescent="0.5">
      <c r="A25" t="s">
        <v>33</v>
      </c>
      <c r="B25" t="s">
        <v>116</v>
      </c>
      <c r="C25">
        <v>0</v>
      </c>
      <c r="D25" t="e">
        <f t="shared" si="1"/>
        <v>#VALUE!</v>
      </c>
    </row>
    <row r="26" spans="1:4" x14ac:dyDescent="0.5">
      <c r="A26" t="s">
        <v>35</v>
      </c>
      <c r="B26">
        <f>MAIN[[#This Row],[SF Qty]]</f>
        <v>2</v>
      </c>
      <c r="C26">
        <f>MAIN[[#This Row],[WH Qty]]</f>
        <v>2</v>
      </c>
      <c r="D26">
        <f t="shared" si="1"/>
        <v>0</v>
      </c>
    </row>
    <row r="27" spans="1:4" x14ac:dyDescent="0.5">
      <c r="A27" t="s">
        <v>34</v>
      </c>
      <c r="B27">
        <f>MAIN[[#This Row],[SF Qty]]</f>
        <v>2</v>
      </c>
      <c r="C27">
        <f>MAIN[[#This Row],[WH Qty]]</f>
        <v>1</v>
      </c>
      <c r="D27">
        <f t="shared" si="1"/>
        <v>-1</v>
      </c>
    </row>
    <row r="28" spans="1:4" x14ac:dyDescent="0.5">
      <c r="A28" t="s">
        <v>36</v>
      </c>
      <c r="B28">
        <f>MAIN[[#This Row],[SF Qty]]</f>
        <v>2</v>
      </c>
      <c r="C28">
        <f>MAIN[[#This Row],[WH Qty]]</f>
        <v>2</v>
      </c>
      <c r="D28">
        <f t="shared" si="1"/>
        <v>0</v>
      </c>
    </row>
    <row r="29" spans="1:4" hidden="1" x14ac:dyDescent="0.5">
      <c r="A29" t="s">
        <v>37</v>
      </c>
      <c r="B29" t="s">
        <v>116</v>
      </c>
      <c r="C29">
        <v>50</v>
      </c>
      <c r="D29" t="e">
        <f t="shared" si="1"/>
        <v>#VALUE!</v>
      </c>
    </row>
    <row r="30" spans="1:4" hidden="1" x14ac:dyDescent="0.5">
      <c r="A30" t="s">
        <v>38</v>
      </c>
      <c r="B30" t="s">
        <v>116</v>
      </c>
      <c r="C30">
        <v>0</v>
      </c>
      <c r="D30" t="e">
        <f t="shared" si="1"/>
        <v>#VALUE!</v>
      </c>
    </row>
    <row r="31" spans="1:4" hidden="1" x14ac:dyDescent="0.5">
      <c r="A31" t="s">
        <v>40</v>
      </c>
      <c r="B31" t="s">
        <v>116</v>
      </c>
      <c r="C31">
        <v>8</v>
      </c>
      <c r="D31" t="e">
        <f t="shared" si="1"/>
        <v>#VALUE!</v>
      </c>
    </row>
    <row r="32" spans="1:4" hidden="1" x14ac:dyDescent="0.5">
      <c r="A32" t="s">
        <v>39</v>
      </c>
      <c r="B32" t="s">
        <v>116</v>
      </c>
      <c r="C32">
        <v>3</v>
      </c>
      <c r="D32" t="e">
        <f t="shared" si="1"/>
        <v>#VALUE!</v>
      </c>
    </row>
    <row r="33" spans="1:4" hidden="1" x14ac:dyDescent="0.5">
      <c r="A33" t="s">
        <v>41</v>
      </c>
      <c r="B33" t="s">
        <v>116</v>
      </c>
      <c r="C33">
        <v>14</v>
      </c>
      <c r="D33" t="e">
        <f t="shared" si="1"/>
        <v>#VALUE!</v>
      </c>
    </row>
    <row r="34" spans="1:4" hidden="1" x14ac:dyDescent="0.5">
      <c r="A34" t="s">
        <v>42</v>
      </c>
      <c r="B34" t="s">
        <v>116</v>
      </c>
      <c r="C34">
        <v>11</v>
      </c>
      <c r="D34" t="e">
        <f t="shared" si="1"/>
        <v>#VALUE!</v>
      </c>
    </row>
    <row r="35" spans="1:4" hidden="1" x14ac:dyDescent="0.5">
      <c r="A35" t="s">
        <v>43</v>
      </c>
      <c r="B35" t="s">
        <v>116</v>
      </c>
      <c r="C35">
        <v>4</v>
      </c>
      <c r="D35" t="e">
        <f t="shared" si="1"/>
        <v>#VALUE!</v>
      </c>
    </row>
    <row r="36" spans="1:4" hidden="1" x14ac:dyDescent="0.5">
      <c r="A36" t="s">
        <v>76</v>
      </c>
      <c r="B36" t="s">
        <v>116</v>
      </c>
      <c r="C36">
        <v>209</v>
      </c>
      <c r="D36" t="e">
        <f t="shared" si="1"/>
        <v>#VALUE!</v>
      </c>
    </row>
    <row r="37" spans="1:4" hidden="1" x14ac:dyDescent="0.5">
      <c r="A37" t="s">
        <v>45</v>
      </c>
      <c r="B37" t="s">
        <v>116</v>
      </c>
      <c r="C37">
        <v>1</v>
      </c>
      <c r="D37" t="e">
        <f t="shared" si="1"/>
        <v>#VALUE!</v>
      </c>
    </row>
    <row r="38" spans="1:4" hidden="1" x14ac:dyDescent="0.5">
      <c r="A38" t="s">
        <v>44</v>
      </c>
      <c r="B38" t="s">
        <v>116</v>
      </c>
      <c r="C38">
        <v>0</v>
      </c>
      <c r="D38" t="e">
        <f t="shared" si="1"/>
        <v>#VALUE!</v>
      </c>
    </row>
    <row r="39" spans="1:4" hidden="1" x14ac:dyDescent="0.5">
      <c r="A39" t="s">
        <v>46</v>
      </c>
      <c r="B39" t="s">
        <v>116</v>
      </c>
      <c r="C39">
        <v>73</v>
      </c>
      <c r="D39" t="e">
        <f t="shared" si="1"/>
        <v>#VALUE!</v>
      </c>
    </row>
    <row r="40" spans="1:4" hidden="1" x14ac:dyDescent="0.5">
      <c r="A40" t="s">
        <v>47</v>
      </c>
      <c r="B40" t="s">
        <v>116</v>
      </c>
      <c r="C40">
        <v>1</v>
      </c>
      <c r="D40" t="e">
        <f t="shared" si="1"/>
        <v>#VALUE!</v>
      </c>
    </row>
    <row r="41" spans="1:4" hidden="1" x14ac:dyDescent="0.5">
      <c r="A41" t="s">
        <v>48</v>
      </c>
      <c r="B41" t="s">
        <v>116</v>
      </c>
      <c r="C41">
        <v>2</v>
      </c>
      <c r="D41" t="e">
        <f t="shared" si="1"/>
        <v>#VALUE!</v>
      </c>
    </row>
    <row r="42" spans="1:4" hidden="1" x14ac:dyDescent="0.5">
      <c r="A42" t="s">
        <v>49</v>
      </c>
      <c r="B42" t="s">
        <v>116</v>
      </c>
      <c r="C42">
        <v>424</v>
      </c>
      <c r="D42" t="e">
        <f t="shared" si="1"/>
        <v>#VALUE!</v>
      </c>
    </row>
    <row r="43" spans="1:4" hidden="1" x14ac:dyDescent="0.5">
      <c r="A43" t="s">
        <v>50</v>
      </c>
      <c r="B43" t="s">
        <v>116</v>
      </c>
      <c r="C43">
        <v>400</v>
      </c>
      <c r="D43" t="e">
        <f t="shared" si="1"/>
        <v>#VALUE!</v>
      </c>
    </row>
    <row r="44" spans="1:4" hidden="1" x14ac:dyDescent="0.5">
      <c r="A44" t="s">
        <v>51</v>
      </c>
      <c r="B44" t="s">
        <v>116</v>
      </c>
      <c r="C44">
        <v>21</v>
      </c>
      <c r="D44" t="e">
        <f t="shared" si="1"/>
        <v>#VALUE!</v>
      </c>
    </row>
    <row r="45" spans="1:4" hidden="1" x14ac:dyDescent="0.5">
      <c r="A45" t="s">
        <v>52</v>
      </c>
      <c r="B45" t="s">
        <v>116</v>
      </c>
      <c r="C45">
        <v>6</v>
      </c>
      <c r="D45" t="e">
        <f t="shared" si="1"/>
        <v>#VALUE!</v>
      </c>
    </row>
    <row r="46" spans="1:4" hidden="1" x14ac:dyDescent="0.5">
      <c r="A46" t="s">
        <v>53</v>
      </c>
      <c r="B46" t="s">
        <v>116</v>
      </c>
      <c r="C46">
        <v>13</v>
      </c>
      <c r="D46" t="e">
        <f t="shared" si="1"/>
        <v>#VALUE!</v>
      </c>
    </row>
    <row r="47" spans="1:4" hidden="1" x14ac:dyDescent="0.5">
      <c r="A47" t="s">
        <v>54</v>
      </c>
      <c r="B47" t="s">
        <v>116</v>
      </c>
      <c r="C47">
        <v>21</v>
      </c>
      <c r="D47" t="e">
        <f t="shared" si="1"/>
        <v>#VALUE!</v>
      </c>
    </row>
    <row r="48" spans="1:4" x14ac:dyDescent="0.5">
      <c r="A48" t="s">
        <v>55</v>
      </c>
      <c r="B48">
        <f>MAIN[[#This Row],[SF Qty]]</f>
        <v>592</v>
      </c>
      <c r="C48">
        <f>MAIN[[#This Row],[WH Qty]]</f>
        <v>1149</v>
      </c>
      <c r="D48">
        <f t="shared" si="1"/>
        <v>557</v>
      </c>
    </row>
    <row r="49" spans="1:4" x14ac:dyDescent="0.5">
      <c r="A49" t="s">
        <v>56</v>
      </c>
      <c r="B49">
        <f>MAIN[[#This Row],[SF Qty]]</f>
        <v>101</v>
      </c>
      <c r="C49">
        <f>MAIN[[#This Row],[WH Qty]]</f>
        <v>96</v>
      </c>
      <c r="D49">
        <f t="shared" si="1"/>
        <v>-5</v>
      </c>
    </row>
    <row r="50" spans="1:4" hidden="1" x14ac:dyDescent="0.5">
      <c r="A50" t="s">
        <v>57</v>
      </c>
      <c r="B50" t="s">
        <v>116</v>
      </c>
      <c r="C50">
        <v>4</v>
      </c>
      <c r="D50" t="e">
        <f t="shared" si="1"/>
        <v>#VALUE!</v>
      </c>
    </row>
    <row r="51" spans="1:4" hidden="1" x14ac:dyDescent="0.5">
      <c r="A51" t="s">
        <v>65</v>
      </c>
      <c r="B51" t="s">
        <v>116</v>
      </c>
      <c r="C51">
        <v>1371</v>
      </c>
      <c r="D51" t="e">
        <f t="shared" si="1"/>
        <v>#VALUE!</v>
      </c>
    </row>
    <row r="52" spans="1:4" hidden="1" x14ac:dyDescent="0.5">
      <c r="A52" t="s">
        <v>58</v>
      </c>
      <c r="B52" t="s">
        <v>116</v>
      </c>
      <c r="C52">
        <v>46</v>
      </c>
      <c r="D52" t="e">
        <f t="shared" si="1"/>
        <v>#VALUE!</v>
      </c>
    </row>
    <row r="53" spans="1:4" hidden="1" x14ac:dyDescent="0.5">
      <c r="A53" t="s">
        <v>59</v>
      </c>
      <c r="B53" t="s">
        <v>116</v>
      </c>
      <c r="C53">
        <v>37</v>
      </c>
      <c r="D53" t="e">
        <f t="shared" si="1"/>
        <v>#VALUE!</v>
      </c>
    </row>
    <row r="54" spans="1:4" hidden="1" x14ac:dyDescent="0.5">
      <c r="A54" t="s">
        <v>60</v>
      </c>
      <c r="B54" t="s">
        <v>116</v>
      </c>
      <c r="C54">
        <v>352</v>
      </c>
      <c r="D54" t="e">
        <f t="shared" ref="D54:D85" si="2">C54-B54</f>
        <v>#VALUE!</v>
      </c>
    </row>
    <row r="55" spans="1:4" hidden="1" x14ac:dyDescent="0.5">
      <c r="A55" t="s">
        <v>61</v>
      </c>
      <c r="B55" t="s">
        <v>116</v>
      </c>
      <c r="C55">
        <v>56</v>
      </c>
      <c r="D55" t="e">
        <f t="shared" si="2"/>
        <v>#VALUE!</v>
      </c>
    </row>
    <row r="56" spans="1:4" hidden="1" x14ac:dyDescent="0.5">
      <c r="A56" t="s">
        <v>63</v>
      </c>
      <c r="B56" t="s">
        <v>116</v>
      </c>
      <c r="C56">
        <v>69</v>
      </c>
      <c r="D56" t="e">
        <f t="shared" si="2"/>
        <v>#VALUE!</v>
      </c>
    </row>
    <row r="57" spans="1:4" hidden="1" x14ac:dyDescent="0.5">
      <c r="A57" t="s">
        <v>64</v>
      </c>
      <c r="B57" t="s">
        <v>116</v>
      </c>
      <c r="C57">
        <v>1052</v>
      </c>
      <c r="D57" t="e">
        <f t="shared" si="2"/>
        <v>#VALUE!</v>
      </c>
    </row>
    <row r="58" spans="1:4" hidden="1" x14ac:dyDescent="0.5">
      <c r="A58" t="s">
        <v>62</v>
      </c>
      <c r="B58" t="s">
        <v>116</v>
      </c>
      <c r="C58">
        <v>11</v>
      </c>
      <c r="D58" t="e">
        <f t="shared" si="2"/>
        <v>#VALUE!</v>
      </c>
    </row>
    <row r="59" spans="1:4" hidden="1" x14ac:dyDescent="0.5">
      <c r="A59" t="s">
        <v>66</v>
      </c>
      <c r="B59" t="s">
        <v>116</v>
      </c>
      <c r="C59">
        <v>27</v>
      </c>
      <c r="D59" t="e">
        <f t="shared" si="2"/>
        <v>#VALUE!</v>
      </c>
    </row>
    <row r="60" spans="1:4" x14ac:dyDescent="0.5">
      <c r="A60" t="s">
        <v>67</v>
      </c>
      <c r="B60">
        <f>MAIN[[#This Row],[SF Qty]]</f>
        <v>13</v>
      </c>
      <c r="C60">
        <f>MAIN[[#This Row],[WH Qty]]</f>
        <v>8</v>
      </c>
      <c r="D60">
        <f t="shared" si="2"/>
        <v>-5</v>
      </c>
    </row>
    <row r="61" spans="1:4" hidden="1" x14ac:dyDescent="0.5">
      <c r="A61" t="s">
        <v>68</v>
      </c>
      <c r="B61" t="s">
        <v>116</v>
      </c>
      <c r="C61">
        <v>1</v>
      </c>
      <c r="D61" t="e">
        <f t="shared" si="2"/>
        <v>#VALUE!</v>
      </c>
    </row>
    <row r="62" spans="1:4" hidden="1" x14ac:dyDescent="0.5">
      <c r="A62" t="s">
        <v>69</v>
      </c>
      <c r="B62" t="s">
        <v>116</v>
      </c>
      <c r="C62">
        <v>3</v>
      </c>
      <c r="D62" t="e">
        <f t="shared" si="2"/>
        <v>#VALUE!</v>
      </c>
    </row>
    <row r="63" spans="1:4" hidden="1" x14ac:dyDescent="0.5">
      <c r="A63" t="s">
        <v>70</v>
      </c>
      <c r="B63" t="s">
        <v>116</v>
      </c>
      <c r="C63">
        <v>1</v>
      </c>
      <c r="D63" t="e">
        <f t="shared" si="2"/>
        <v>#VALUE!</v>
      </c>
    </row>
    <row r="64" spans="1:4" hidden="1" x14ac:dyDescent="0.5">
      <c r="A64" t="s">
        <v>71</v>
      </c>
      <c r="B64" t="s">
        <v>116</v>
      </c>
      <c r="C64">
        <v>4</v>
      </c>
      <c r="D64" t="e">
        <f t="shared" si="2"/>
        <v>#VALUE!</v>
      </c>
    </row>
    <row r="65" spans="1:4" hidden="1" x14ac:dyDescent="0.5">
      <c r="A65" t="s">
        <v>72</v>
      </c>
      <c r="B65" t="s">
        <v>116</v>
      </c>
      <c r="C65">
        <v>4</v>
      </c>
      <c r="D65" t="e">
        <f t="shared" si="2"/>
        <v>#VALUE!</v>
      </c>
    </row>
    <row r="66" spans="1:4" hidden="1" x14ac:dyDescent="0.5">
      <c r="A66" t="s">
        <v>73</v>
      </c>
      <c r="B66" t="s">
        <v>116</v>
      </c>
      <c r="C66">
        <v>1</v>
      </c>
      <c r="D66" t="e">
        <f t="shared" si="2"/>
        <v>#VALUE!</v>
      </c>
    </row>
    <row r="67" spans="1:4" hidden="1" x14ac:dyDescent="0.5">
      <c r="A67" t="s">
        <v>74</v>
      </c>
      <c r="B67" t="s">
        <v>116</v>
      </c>
      <c r="C67">
        <v>0</v>
      </c>
      <c r="D67" t="e">
        <f t="shared" si="2"/>
        <v>#VALUE!</v>
      </c>
    </row>
    <row r="68" spans="1:4" hidden="1" x14ac:dyDescent="0.5">
      <c r="A68" t="s">
        <v>75</v>
      </c>
      <c r="B68" t="s">
        <v>116</v>
      </c>
      <c r="C68">
        <v>7</v>
      </c>
      <c r="D68" t="e">
        <f t="shared" si="2"/>
        <v>#VALUE!</v>
      </c>
    </row>
    <row r="69" spans="1:4" x14ac:dyDescent="0.5">
      <c r="A69" t="s">
        <v>77</v>
      </c>
      <c r="B69">
        <f>MAIN[[#This Row],[SF Qty]]</f>
        <v>-24</v>
      </c>
      <c r="C69">
        <f>MAIN[[#This Row],[WH Qty]]</f>
        <v>14</v>
      </c>
      <c r="D69">
        <f t="shared" si="2"/>
        <v>38</v>
      </c>
    </row>
    <row r="70" spans="1:4" x14ac:dyDescent="0.5">
      <c r="A70" t="s">
        <v>78</v>
      </c>
      <c r="B70">
        <f>MAIN[[#This Row],[SF Qty]]</f>
        <v>528</v>
      </c>
      <c r="C70">
        <f>MAIN[[#This Row],[WH Qty]]</f>
        <v>129</v>
      </c>
      <c r="D70">
        <f t="shared" si="2"/>
        <v>-399</v>
      </c>
    </row>
    <row r="71" spans="1:4" x14ac:dyDescent="0.5">
      <c r="A71" t="s">
        <v>79</v>
      </c>
      <c r="B71">
        <f>MAIN[[#This Row],[SF Qty]]</f>
        <v>190</v>
      </c>
      <c r="C71">
        <f>MAIN[[#This Row],[WH Qty]]</f>
        <v>190</v>
      </c>
      <c r="D71">
        <f t="shared" si="2"/>
        <v>0</v>
      </c>
    </row>
    <row r="72" spans="1:4" x14ac:dyDescent="0.5">
      <c r="A72" t="s">
        <v>80</v>
      </c>
      <c r="B72">
        <f>MAIN[[#This Row],[SF Qty]]</f>
        <v>1770</v>
      </c>
      <c r="C72">
        <f>MAIN[[#This Row],[WH Qty]]</f>
        <v>2450</v>
      </c>
      <c r="D72">
        <f t="shared" si="2"/>
        <v>680</v>
      </c>
    </row>
    <row r="73" spans="1:4" x14ac:dyDescent="0.5">
      <c r="A73" t="s">
        <v>81</v>
      </c>
      <c r="B73">
        <f>MAIN[[#This Row],[SF Qty]]</f>
        <v>3843</v>
      </c>
      <c r="C73">
        <f>MAIN[[#This Row],[WH Qty]]</f>
        <v>2275</v>
      </c>
      <c r="D73">
        <f t="shared" si="2"/>
        <v>-1568</v>
      </c>
    </row>
    <row r="74" spans="1:4" x14ac:dyDescent="0.5">
      <c r="A74" t="s">
        <v>82</v>
      </c>
      <c r="B74">
        <f>MAIN[[#This Row],[SF Qty]]</f>
        <v>406</v>
      </c>
      <c r="C74">
        <f>MAIN[[#This Row],[WH Qty]]</f>
        <v>80</v>
      </c>
      <c r="D74">
        <f t="shared" si="2"/>
        <v>-326</v>
      </c>
    </row>
    <row r="75" spans="1:4" x14ac:dyDescent="0.5">
      <c r="A75" t="s">
        <v>83</v>
      </c>
      <c r="B75">
        <f>MAIN[[#This Row],[SF Qty]]</f>
        <v>-201</v>
      </c>
      <c r="C75">
        <f>MAIN[[#This Row],[WH Qty]]</f>
        <v>0</v>
      </c>
      <c r="D75">
        <f t="shared" si="2"/>
        <v>201</v>
      </c>
    </row>
    <row r="76" spans="1:4" x14ac:dyDescent="0.5">
      <c r="A76" t="s">
        <v>84</v>
      </c>
      <c r="B76">
        <f>MAIN[[#This Row],[SF Qty]]</f>
        <v>-73</v>
      </c>
      <c r="C76">
        <f>MAIN[[#This Row],[WH Qty]]</f>
        <v>185</v>
      </c>
      <c r="D76">
        <f t="shared" si="2"/>
        <v>258</v>
      </c>
    </row>
    <row r="77" spans="1:4" x14ac:dyDescent="0.5">
      <c r="A77" t="s">
        <v>85</v>
      </c>
      <c r="B77">
        <f>MAIN[[#This Row],[SF Qty]]</f>
        <v>552</v>
      </c>
      <c r="C77">
        <f>MAIN[[#This Row],[WH Qty]]</f>
        <v>65</v>
      </c>
      <c r="D77">
        <f t="shared" si="2"/>
        <v>-487</v>
      </c>
    </row>
    <row r="78" spans="1:4" x14ac:dyDescent="0.5">
      <c r="A78" t="s">
        <v>86</v>
      </c>
      <c r="B78">
        <f>MAIN[[#This Row],[SF Qty]]</f>
        <v>49</v>
      </c>
      <c r="C78">
        <f>MAIN[[#This Row],[WH Qty]]</f>
        <v>7</v>
      </c>
      <c r="D78">
        <f t="shared" si="2"/>
        <v>-42</v>
      </c>
    </row>
    <row r="79" spans="1:4" x14ac:dyDescent="0.5">
      <c r="A79" t="s">
        <v>87</v>
      </c>
      <c r="B79">
        <f>MAIN[[#This Row],[SF Qty]]</f>
        <v>22</v>
      </c>
      <c r="C79">
        <f>MAIN[[#This Row],[WH Qty]]</f>
        <v>52</v>
      </c>
      <c r="D79">
        <f t="shared" si="2"/>
        <v>30</v>
      </c>
    </row>
    <row r="80" spans="1:4" x14ac:dyDescent="0.5">
      <c r="A80" t="s">
        <v>88</v>
      </c>
      <c r="B80">
        <f>MAIN[[#This Row],[SF Qty]]</f>
        <v>246</v>
      </c>
      <c r="C80">
        <f>MAIN[[#This Row],[WH Qty]]</f>
        <v>216</v>
      </c>
      <c r="D80">
        <f t="shared" si="2"/>
        <v>-30</v>
      </c>
    </row>
    <row r="81" spans="1:4" x14ac:dyDescent="0.5">
      <c r="A81" t="s">
        <v>89</v>
      </c>
      <c r="B81">
        <f>MAIN[[#This Row],[SF Qty]]</f>
        <v>211</v>
      </c>
      <c r="C81">
        <f>MAIN[[#This Row],[WH Qty]]</f>
        <v>39</v>
      </c>
      <c r="D81">
        <f t="shared" si="2"/>
        <v>-172</v>
      </c>
    </row>
    <row r="82" spans="1:4" x14ac:dyDescent="0.5">
      <c r="A82" t="s">
        <v>90</v>
      </c>
      <c r="B82">
        <f>MAIN[[#This Row],[SF Qty]]</f>
        <v>3</v>
      </c>
      <c r="C82">
        <f>MAIN[[#This Row],[WH Qty]]</f>
        <v>5</v>
      </c>
      <c r="D82">
        <f t="shared" si="2"/>
        <v>2</v>
      </c>
    </row>
    <row r="83" spans="1:4" x14ac:dyDescent="0.5">
      <c r="A83" t="s">
        <v>91</v>
      </c>
      <c r="B83">
        <f>MAIN[[#This Row],[SF Qty]]</f>
        <v>19</v>
      </c>
      <c r="C83">
        <f>MAIN[[#This Row],[WH Qty]]</f>
        <v>4</v>
      </c>
      <c r="D83">
        <f t="shared" si="2"/>
        <v>-15</v>
      </c>
    </row>
    <row r="84" spans="1:4" x14ac:dyDescent="0.5">
      <c r="A84" t="s">
        <v>92</v>
      </c>
      <c r="B84">
        <f>MAIN[[#This Row],[SF Qty]]</f>
        <v>-4</v>
      </c>
      <c r="C84">
        <f>MAIN[[#This Row],[WH Qty]]</f>
        <v>10</v>
      </c>
      <c r="D84">
        <f t="shared" si="2"/>
        <v>14</v>
      </c>
    </row>
    <row r="85" spans="1:4" x14ac:dyDescent="0.5">
      <c r="A85" t="s">
        <v>93</v>
      </c>
      <c r="B85">
        <f>MAIN[[#This Row],[SF Qty]]</f>
        <v>21</v>
      </c>
      <c r="C85">
        <f>MAIN[[#This Row],[WH Qty]]</f>
        <v>9</v>
      </c>
      <c r="D85">
        <f t="shared" si="2"/>
        <v>-12</v>
      </c>
    </row>
    <row r="86" spans="1:4" x14ac:dyDescent="0.5">
      <c r="A86" t="s">
        <v>95</v>
      </c>
      <c r="B86">
        <f>MAIN[[#This Row],[SF Qty]]</f>
        <v>-11</v>
      </c>
      <c r="C86">
        <f>MAIN[[#This Row],[WH Qty]]</f>
        <v>0</v>
      </c>
      <c r="D86">
        <f t="shared" ref="D86:D109" si="3">C86-B86</f>
        <v>11</v>
      </c>
    </row>
    <row r="87" spans="1:4" hidden="1" x14ac:dyDescent="0.5">
      <c r="A87" t="s">
        <v>94</v>
      </c>
      <c r="B87" t="s">
        <v>116</v>
      </c>
      <c r="C87">
        <v>0</v>
      </c>
      <c r="D87" t="e">
        <f t="shared" si="3"/>
        <v>#VALUE!</v>
      </c>
    </row>
    <row r="88" spans="1:4" x14ac:dyDescent="0.5">
      <c r="A88" t="s">
        <v>96</v>
      </c>
      <c r="B88">
        <f>MAIN[[#This Row],[SF Qty]]</f>
        <v>17</v>
      </c>
      <c r="C88">
        <f>MAIN[[#This Row],[WH Qty]]</f>
        <v>9</v>
      </c>
      <c r="D88">
        <f t="shared" si="3"/>
        <v>-8</v>
      </c>
    </row>
    <row r="89" spans="1:4" x14ac:dyDescent="0.5">
      <c r="A89" t="s">
        <v>97</v>
      </c>
      <c r="B89">
        <f>MAIN[[#This Row],[SF Qty]]</f>
        <v>0</v>
      </c>
      <c r="C89">
        <f>MAIN[[#This Row],[WH Qty]]</f>
        <v>0</v>
      </c>
      <c r="D89">
        <f t="shared" si="3"/>
        <v>0</v>
      </c>
    </row>
    <row r="90" spans="1:4" x14ac:dyDescent="0.5">
      <c r="A90" t="s">
        <v>98</v>
      </c>
      <c r="B90">
        <f>MAIN[[#This Row],[SF Qty]]</f>
        <v>1737</v>
      </c>
      <c r="C90">
        <f>MAIN[[#This Row],[WH Qty]]</f>
        <v>2250</v>
      </c>
      <c r="D90">
        <f t="shared" si="3"/>
        <v>513</v>
      </c>
    </row>
    <row r="91" spans="1:4" x14ac:dyDescent="0.5">
      <c r="A91" t="s">
        <v>99</v>
      </c>
      <c r="B91">
        <f>MAIN[[#This Row],[SF Qty]]</f>
        <v>2587</v>
      </c>
      <c r="C91">
        <f>MAIN[[#This Row],[WH Qty]]</f>
        <v>3100</v>
      </c>
      <c r="D91">
        <f t="shared" si="3"/>
        <v>513</v>
      </c>
    </row>
    <row r="92" spans="1:4" x14ac:dyDescent="0.5">
      <c r="A92" t="s">
        <v>100</v>
      </c>
      <c r="B92">
        <f>MAIN[[#This Row],[SF Qty]]</f>
        <v>235</v>
      </c>
      <c r="C92">
        <f>MAIN[[#This Row],[WH Qty]]</f>
        <v>45</v>
      </c>
      <c r="D92">
        <f t="shared" si="3"/>
        <v>-190</v>
      </c>
    </row>
    <row r="93" spans="1:4" x14ac:dyDescent="0.5">
      <c r="A93" t="s">
        <v>101</v>
      </c>
      <c r="B93">
        <f>MAIN[[#This Row],[SF Qty]]</f>
        <v>-160</v>
      </c>
      <c r="C93">
        <f>MAIN[[#This Row],[WH Qty]]</f>
        <v>0</v>
      </c>
      <c r="D93">
        <f t="shared" si="3"/>
        <v>160</v>
      </c>
    </row>
    <row r="94" spans="1:4" x14ac:dyDescent="0.5">
      <c r="A94" t="s">
        <v>102</v>
      </c>
      <c r="B94">
        <f>MAIN[[#This Row],[SF Qty]]</f>
        <v>56</v>
      </c>
      <c r="C94">
        <f>MAIN[[#This Row],[WH Qty]]</f>
        <v>163</v>
      </c>
      <c r="D94">
        <f t="shared" si="3"/>
        <v>107</v>
      </c>
    </row>
    <row r="95" spans="1:4" x14ac:dyDescent="0.5">
      <c r="A95" t="s">
        <v>103</v>
      </c>
      <c r="B95">
        <f>MAIN[[#This Row],[SF Qty]]</f>
        <v>447</v>
      </c>
      <c r="C95">
        <f>MAIN[[#This Row],[WH Qty]]</f>
        <v>215</v>
      </c>
      <c r="D95">
        <f t="shared" si="3"/>
        <v>-232</v>
      </c>
    </row>
    <row r="96" spans="1:4" x14ac:dyDescent="0.5">
      <c r="A96" t="s">
        <v>104</v>
      </c>
      <c r="B96">
        <f>MAIN[[#This Row],[SF Qty]]</f>
        <v>3</v>
      </c>
      <c r="C96">
        <f>MAIN[[#This Row],[WH Qty]]</f>
        <v>11</v>
      </c>
      <c r="D96">
        <f t="shared" si="3"/>
        <v>8</v>
      </c>
    </row>
    <row r="97" spans="1:4" x14ac:dyDescent="0.5">
      <c r="A97" t="s">
        <v>105</v>
      </c>
      <c r="B97">
        <f>MAIN[[#This Row],[SF Qty]]</f>
        <v>978</v>
      </c>
      <c r="C97">
        <f>MAIN[[#This Row],[WH Qty]]</f>
        <v>525</v>
      </c>
      <c r="D97">
        <f t="shared" si="3"/>
        <v>-453</v>
      </c>
    </row>
    <row r="98" spans="1:4" x14ac:dyDescent="0.5">
      <c r="A98" t="s">
        <v>106</v>
      </c>
      <c r="B98">
        <f>MAIN[[#This Row],[SF Qty]]</f>
        <v>301</v>
      </c>
      <c r="C98">
        <f>MAIN[[#This Row],[WH Qty]]</f>
        <v>164</v>
      </c>
      <c r="D98">
        <f t="shared" si="3"/>
        <v>-137</v>
      </c>
    </row>
    <row r="99" spans="1:4" hidden="1" x14ac:dyDescent="0.5">
      <c r="A99" t="s">
        <v>107</v>
      </c>
      <c r="B99" t="s">
        <v>116</v>
      </c>
      <c r="C99">
        <v>28</v>
      </c>
      <c r="D99" t="e">
        <f t="shared" si="3"/>
        <v>#VALUE!</v>
      </c>
    </row>
    <row r="100" spans="1:4" hidden="1" x14ac:dyDescent="0.5">
      <c r="A100" t="s">
        <v>108</v>
      </c>
      <c r="B100" t="s">
        <v>116</v>
      </c>
      <c r="C100">
        <v>42</v>
      </c>
      <c r="D100" t="e">
        <f t="shared" si="3"/>
        <v>#VALUE!</v>
      </c>
    </row>
    <row r="101" spans="1:4" hidden="1" x14ac:dyDescent="0.5">
      <c r="A101" t="s">
        <v>122</v>
      </c>
      <c r="B101" t="s">
        <v>116</v>
      </c>
      <c r="C101">
        <v>8</v>
      </c>
      <c r="D101" t="e">
        <f t="shared" si="3"/>
        <v>#VALUE!</v>
      </c>
    </row>
    <row r="102" spans="1:4" x14ac:dyDescent="0.5">
      <c r="A102" t="s">
        <v>111</v>
      </c>
      <c r="B102">
        <f>MAIN[[#This Row],[SF Qty]]</f>
        <v>120</v>
      </c>
      <c r="C102">
        <f>MAIN[[#This Row],[WH Qty]]</f>
        <v>50</v>
      </c>
      <c r="D102">
        <f t="shared" si="3"/>
        <v>-70</v>
      </c>
    </row>
    <row r="103" spans="1:4" x14ac:dyDescent="0.5">
      <c r="A103" t="s">
        <v>109</v>
      </c>
      <c r="B103">
        <f>MAIN[[#This Row],[SF Qty]]</f>
        <v>-29</v>
      </c>
      <c r="C103">
        <f>MAIN[[#This Row],[WH Qty]]</f>
        <v>0</v>
      </c>
      <c r="D103">
        <f t="shared" si="3"/>
        <v>29</v>
      </c>
    </row>
    <row r="104" spans="1:4" x14ac:dyDescent="0.5">
      <c r="A104" t="s">
        <v>123</v>
      </c>
      <c r="B104">
        <f>MAIN[[#This Row],[SF Qty]]</f>
        <v>4</v>
      </c>
      <c r="C104">
        <f>MAIN[[#This Row],[WH Qty]]</f>
        <v>7</v>
      </c>
      <c r="D104">
        <f t="shared" si="3"/>
        <v>3</v>
      </c>
    </row>
    <row r="105" spans="1:4" hidden="1" x14ac:dyDescent="0.5">
      <c r="A105" t="s">
        <v>124</v>
      </c>
      <c r="B105" t="s">
        <v>116</v>
      </c>
      <c r="C105">
        <v>3</v>
      </c>
      <c r="D105" t="e">
        <f t="shared" si="3"/>
        <v>#VALUE!</v>
      </c>
    </row>
    <row r="106" spans="1:4" hidden="1" x14ac:dyDescent="0.5">
      <c r="A106" t="s">
        <v>112</v>
      </c>
      <c r="B106" t="s">
        <v>116</v>
      </c>
      <c r="C106">
        <v>6</v>
      </c>
      <c r="D106" t="e">
        <f t="shared" si="3"/>
        <v>#VALUE!</v>
      </c>
    </row>
    <row r="107" spans="1:4" hidden="1" x14ac:dyDescent="0.5">
      <c r="A107" t="s">
        <v>110</v>
      </c>
      <c r="B107" t="s">
        <v>116</v>
      </c>
      <c r="C107">
        <v>4</v>
      </c>
      <c r="D107" t="e">
        <f t="shared" si="3"/>
        <v>#VALUE!</v>
      </c>
    </row>
    <row r="108" spans="1:4" hidden="1" x14ac:dyDescent="0.5">
      <c r="A108" t="s">
        <v>113</v>
      </c>
      <c r="B108" t="s">
        <v>116</v>
      </c>
      <c r="C108">
        <v>30</v>
      </c>
      <c r="D108" t="e">
        <f t="shared" si="3"/>
        <v>#VALUE!</v>
      </c>
    </row>
    <row r="109" spans="1:4" hidden="1" x14ac:dyDescent="0.5">
      <c r="A109" t="s">
        <v>125</v>
      </c>
      <c r="B109" t="s">
        <v>116</v>
      </c>
      <c r="C109">
        <v>3</v>
      </c>
      <c r="D109" t="e">
        <f t="shared" si="3"/>
        <v>#VALUE!</v>
      </c>
    </row>
    <row r="110" spans="1:4" x14ac:dyDescent="0.5">
      <c r="A110">
        <f>SUBTOTAL(103,MAIN[Item])</f>
        <v>108</v>
      </c>
    </row>
  </sheetData>
  <conditionalFormatting sqref="D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4931-0401-43F8-8704-7882551898B5}">
  <dimension ref="A1:G110"/>
  <sheetViews>
    <sheetView workbookViewId="0">
      <selection activeCell="D108" sqref="D108"/>
    </sheetView>
  </sheetViews>
  <sheetFormatPr defaultRowHeight="14.35" x14ac:dyDescent="0.5"/>
  <cols>
    <col min="1" max="1" width="27.3515625" customWidth="1"/>
    <col min="4" max="4" width="17.87890625" customWidth="1"/>
    <col min="5" max="5" width="14.9375" customWidth="1"/>
    <col min="7" max="7" width="16.52734375" customWidth="1"/>
  </cols>
  <sheetData>
    <row r="1" spans="1:7" x14ac:dyDescent="0.5">
      <c r="A1" s="1" t="s">
        <v>0</v>
      </c>
      <c r="B1" s="1" t="s">
        <v>3</v>
      </c>
      <c r="C1" s="1" t="s">
        <v>4</v>
      </c>
      <c r="D1" s="1" t="s">
        <v>6</v>
      </c>
      <c r="E1" s="1" t="s">
        <v>128</v>
      </c>
      <c r="G1" s="1" t="s">
        <v>7</v>
      </c>
    </row>
    <row r="2" spans="1:7" x14ac:dyDescent="0.5">
      <c r="A2" t="s">
        <v>12</v>
      </c>
      <c r="B2">
        <f>MAIN[[#This Row],[WH Qty]]</f>
        <v>36</v>
      </c>
      <c r="C2">
        <f>MAIN[[#This Row],[GP Qty]]</f>
        <v>24</v>
      </c>
      <c r="D2">
        <v>72</v>
      </c>
      <c r="E2" t="str">
        <f>IF((B2+C2)&lt;=D2, "YES", "NO")</f>
        <v>YES</v>
      </c>
      <c r="G2">
        <v>120</v>
      </c>
    </row>
    <row r="3" spans="1:7" hidden="1" x14ac:dyDescent="0.5">
      <c r="A3" t="s">
        <v>14</v>
      </c>
      <c r="B3">
        <v>3</v>
      </c>
      <c r="C3">
        <v>0</v>
      </c>
      <c r="D3" t="s">
        <v>116</v>
      </c>
      <c r="E3" t="str">
        <f t="shared" ref="E3:E66" si="0">IF((B3+C3)&lt;=D3, "YES", "NO")</f>
        <v>YES</v>
      </c>
      <c r="G3">
        <v>6</v>
      </c>
    </row>
    <row r="4" spans="1:7" x14ac:dyDescent="0.5">
      <c r="A4" t="s">
        <v>13</v>
      </c>
      <c r="B4">
        <f>MAIN[[#This Row],[WH Qty]]</f>
        <v>8</v>
      </c>
      <c r="C4">
        <f>MAIN[[#This Row],[GP Qty]]</f>
        <v>4</v>
      </c>
      <c r="D4">
        <v>4</v>
      </c>
      <c r="E4" t="str">
        <f t="shared" si="0"/>
        <v>NO</v>
      </c>
      <c r="G4">
        <v>16</v>
      </c>
    </row>
    <row r="5" spans="1:7" hidden="1" x14ac:dyDescent="0.5">
      <c r="A5" t="s">
        <v>15</v>
      </c>
      <c r="B5">
        <v>4</v>
      </c>
      <c r="C5">
        <v>0</v>
      </c>
      <c r="D5" t="s">
        <v>116</v>
      </c>
      <c r="E5" t="str">
        <f t="shared" si="0"/>
        <v>YES</v>
      </c>
      <c r="G5">
        <v>4</v>
      </c>
    </row>
    <row r="6" spans="1:7" hidden="1" x14ac:dyDescent="0.5">
      <c r="A6" t="s">
        <v>16</v>
      </c>
      <c r="B6">
        <v>0</v>
      </c>
      <c r="C6">
        <v>0</v>
      </c>
      <c r="D6" t="s">
        <v>116</v>
      </c>
      <c r="E6" t="str">
        <f t="shared" si="0"/>
        <v>YES</v>
      </c>
      <c r="G6">
        <v>4</v>
      </c>
    </row>
    <row r="7" spans="1:7" x14ac:dyDescent="0.5">
      <c r="A7" t="s">
        <v>17</v>
      </c>
      <c r="B7">
        <f>MAIN[[#This Row],[WH Qty]]</f>
        <v>4</v>
      </c>
      <c r="C7">
        <f>MAIN[[#This Row],[GP Qty]]</f>
        <v>4</v>
      </c>
      <c r="D7">
        <v>4</v>
      </c>
      <c r="E7" t="str">
        <f t="shared" si="0"/>
        <v>NO</v>
      </c>
      <c r="G7">
        <v>16</v>
      </c>
    </row>
    <row r="8" spans="1:7" x14ac:dyDescent="0.5">
      <c r="A8" t="s">
        <v>18</v>
      </c>
      <c r="B8">
        <f>MAIN[[#This Row],[WH Qty]]</f>
        <v>0</v>
      </c>
      <c r="C8">
        <f>MAIN[[#This Row],[GP Qty]]</f>
        <v>0</v>
      </c>
      <c r="D8">
        <v>2</v>
      </c>
      <c r="E8" t="str">
        <f t="shared" si="0"/>
        <v>YES</v>
      </c>
      <c r="G8">
        <v>4</v>
      </c>
    </row>
    <row r="9" spans="1:7" hidden="1" x14ac:dyDescent="0.5">
      <c r="A9" t="s">
        <v>28</v>
      </c>
      <c r="B9">
        <v>0</v>
      </c>
      <c r="C9">
        <v>0</v>
      </c>
      <c r="D9" t="s">
        <v>116</v>
      </c>
      <c r="E9" t="str">
        <f t="shared" si="0"/>
        <v>YES</v>
      </c>
      <c r="G9">
        <v>0</v>
      </c>
    </row>
    <row r="10" spans="1:7" hidden="1" x14ac:dyDescent="0.5">
      <c r="A10" t="s">
        <v>19</v>
      </c>
      <c r="B10">
        <v>3</v>
      </c>
      <c r="C10">
        <v>0</v>
      </c>
      <c r="D10" t="s">
        <v>116</v>
      </c>
      <c r="E10" t="str">
        <f t="shared" si="0"/>
        <v>YES</v>
      </c>
      <c r="G10">
        <v>4</v>
      </c>
    </row>
    <row r="11" spans="1:7" x14ac:dyDescent="0.5">
      <c r="A11" t="s">
        <v>20</v>
      </c>
      <c r="B11">
        <f>MAIN[[#This Row],[WH Qty]]</f>
        <v>0</v>
      </c>
      <c r="C11">
        <f>MAIN[[#This Row],[GP Qty]]</f>
        <v>0</v>
      </c>
      <c r="D11">
        <v>2</v>
      </c>
      <c r="E11" t="str">
        <f t="shared" si="0"/>
        <v>YES</v>
      </c>
      <c r="G11">
        <v>4</v>
      </c>
    </row>
    <row r="12" spans="1:7" hidden="1" x14ac:dyDescent="0.5">
      <c r="A12" t="s">
        <v>21</v>
      </c>
      <c r="B12">
        <v>0</v>
      </c>
      <c r="C12">
        <v>0</v>
      </c>
      <c r="D12" t="s">
        <v>116</v>
      </c>
      <c r="E12" t="str">
        <f t="shared" si="0"/>
        <v>YES</v>
      </c>
      <c r="G12">
        <v>0</v>
      </c>
    </row>
    <row r="13" spans="1:7" x14ac:dyDescent="0.5">
      <c r="A13" t="s">
        <v>22</v>
      </c>
      <c r="B13">
        <f>MAIN[[#This Row],[WH Qty]]</f>
        <v>54</v>
      </c>
      <c r="C13">
        <f>MAIN[[#This Row],[GP Qty]]</f>
        <v>117</v>
      </c>
      <c r="D13">
        <v>45</v>
      </c>
      <c r="E13" t="str">
        <f t="shared" si="0"/>
        <v>NO</v>
      </c>
      <c r="G13">
        <v>90</v>
      </c>
    </row>
    <row r="14" spans="1:7" hidden="1" x14ac:dyDescent="0.5">
      <c r="A14" t="s">
        <v>27</v>
      </c>
      <c r="B14">
        <v>0</v>
      </c>
      <c r="C14">
        <v>0</v>
      </c>
      <c r="D14" t="s">
        <v>116</v>
      </c>
      <c r="E14" t="str">
        <f t="shared" si="0"/>
        <v>YES</v>
      </c>
      <c r="G14">
        <v>0</v>
      </c>
    </row>
    <row r="15" spans="1:7" x14ac:dyDescent="0.5">
      <c r="A15" t="s">
        <v>23</v>
      </c>
      <c r="B15">
        <f>MAIN[[#This Row],[WH Qty]]</f>
        <v>28</v>
      </c>
      <c r="C15">
        <f>MAIN[[#This Row],[GP Qty]]</f>
        <v>0</v>
      </c>
      <c r="D15">
        <v>6</v>
      </c>
      <c r="E15" t="str">
        <f t="shared" si="0"/>
        <v>NO</v>
      </c>
      <c r="G15">
        <v>30</v>
      </c>
    </row>
    <row r="16" spans="1:7" x14ac:dyDescent="0.5">
      <c r="A16" t="s">
        <v>24</v>
      </c>
      <c r="B16">
        <f>MAIN[[#This Row],[WH Qty]]</f>
        <v>5</v>
      </c>
      <c r="C16">
        <f>MAIN[[#This Row],[GP Qty]]</f>
        <v>0</v>
      </c>
      <c r="D16">
        <v>2</v>
      </c>
      <c r="E16" t="str">
        <f t="shared" si="0"/>
        <v>NO</v>
      </c>
      <c r="G16">
        <v>10</v>
      </c>
    </row>
    <row r="17" spans="1:7" hidden="1" x14ac:dyDescent="0.5">
      <c r="A17" t="s">
        <v>25</v>
      </c>
      <c r="B17">
        <v>7</v>
      </c>
      <c r="C17">
        <v>0</v>
      </c>
      <c r="D17" t="s">
        <v>116</v>
      </c>
      <c r="E17" t="str">
        <f t="shared" si="0"/>
        <v>YES</v>
      </c>
      <c r="G17">
        <v>0</v>
      </c>
    </row>
    <row r="18" spans="1:7" hidden="1" x14ac:dyDescent="0.5">
      <c r="A18" t="s">
        <v>26</v>
      </c>
      <c r="B18">
        <v>7</v>
      </c>
      <c r="C18">
        <v>0</v>
      </c>
      <c r="D18" t="s">
        <v>116</v>
      </c>
      <c r="E18" t="str">
        <f t="shared" si="0"/>
        <v>YES</v>
      </c>
      <c r="G18">
        <v>0</v>
      </c>
    </row>
    <row r="19" spans="1:7" x14ac:dyDescent="0.5">
      <c r="A19" t="s">
        <v>29</v>
      </c>
      <c r="B19">
        <f>MAIN[[#This Row],[WH Qty]]</f>
        <v>135</v>
      </c>
      <c r="C19">
        <f>MAIN[[#This Row],[GP Qty]]</f>
        <v>1080</v>
      </c>
      <c r="D19">
        <v>35</v>
      </c>
      <c r="E19" t="str">
        <f t="shared" si="0"/>
        <v>NO</v>
      </c>
      <c r="G19">
        <v>144</v>
      </c>
    </row>
    <row r="20" spans="1:7" x14ac:dyDescent="0.5">
      <c r="A20" t="s">
        <v>30</v>
      </c>
      <c r="B20">
        <f>MAIN[[#This Row],[WH Qty]]</f>
        <v>19</v>
      </c>
      <c r="C20">
        <f>MAIN[[#This Row],[GP Qty]]</f>
        <v>0</v>
      </c>
      <c r="D20">
        <v>5</v>
      </c>
      <c r="E20" t="str">
        <f t="shared" si="0"/>
        <v>NO</v>
      </c>
      <c r="G20">
        <v>20</v>
      </c>
    </row>
    <row r="21" spans="1:7" x14ac:dyDescent="0.5">
      <c r="A21" t="s">
        <v>31</v>
      </c>
      <c r="B21">
        <f>MAIN[[#This Row],[WH Qty]]</f>
        <v>11</v>
      </c>
      <c r="C21">
        <f>MAIN[[#This Row],[GP Qty]]</f>
        <v>0</v>
      </c>
      <c r="D21">
        <v>5</v>
      </c>
      <c r="E21" t="str">
        <f t="shared" si="0"/>
        <v>NO</v>
      </c>
      <c r="G21">
        <v>20</v>
      </c>
    </row>
    <row r="22" spans="1:7" x14ac:dyDescent="0.5">
      <c r="A22" t="s">
        <v>119</v>
      </c>
      <c r="B22">
        <f>MAIN[[#This Row],[WH Qty]]</f>
        <v>275</v>
      </c>
      <c r="C22">
        <f>MAIN[[#This Row],[GP Qty]]</f>
        <v>0</v>
      </c>
      <c r="D22">
        <v>168</v>
      </c>
      <c r="E22" t="str">
        <f t="shared" si="0"/>
        <v>NO</v>
      </c>
      <c r="G22">
        <v>600</v>
      </c>
    </row>
    <row r="23" spans="1:7" x14ac:dyDescent="0.5">
      <c r="A23" t="s">
        <v>120</v>
      </c>
      <c r="B23">
        <f>MAIN[[#This Row],[WH Qty]]</f>
        <v>270</v>
      </c>
      <c r="C23">
        <f>MAIN[[#This Row],[GP Qty]]</f>
        <v>0</v>
      </c>
      <c r="D23">
        <v>168</v>
      </c>
      <c r="E23" t="str">
        <f t="shared" si="0"/>
        <v>NO</v>
      </c>
      <c r="G23">
        <v>600</v>
      </c>
    </row>
    <row r="24" spans="1:7" x14ac:dyDescent="0.5">
      <c r="A24" t="s">
        <v>32</v>
      </c>
      <c r="B24">
        <f>MAIN[[#This Row],[WH Qty]]</f>
        <v>0</v>
      </c>
      <c r="C24">
        <f>MAIN[[#This Row],[GP Qty]]</f>
        <v>0</v>
      </c>
      <c r="D24">
        <v>18</v>
      </c>
      <c r="E24" t="str">
        <f t="shared" si="0"/>
        <v>YES</v>
      </c>
      <c r="G24">
        <v>60</v>
      </c>
    </row>
    <row r="25" spans="1:7" x14ac:dyDescent="0.5">
      <c r="A25" t="s">
        <v>33</v>
      </c>
      <c r="B25">
        <f>MAIN[[#This Row],[WH Qty]]</f>
        <v>0</v>
      </c>
      <c r="C25">
        <f>MAIN[[#This Row],[GP Qty]]</f>
        <v>0</v>
      </c>
      <c r="D25">
        <v>3</v>
      </c>
      <c r="E25" t="str">
        <f t="shared" si="0"/>
        <v>YES</v>
      </c>
      <c r="G25">
        <v>12</v>
      </c>
    </row>
    <row r="26" spans="1:7" hidden="1" x14ac:dyDescent="0.5">
      <c r="A26" t="s">
        <v>35</v>
      </c>
      <c r="B26">
        <v>2</v>
      </c>
      <c r="C26">
        <v>0</v>
      </c>
      <c r="D26" t="s">
        <v>116</v>
      </c>
      <c r="E26" t="str">
        <f t="shared" si="0"/>
        <v>YES</v>
      </c>
      <c r="G26">
        <v>0</v>
      </c>
    </row>
    <row r="27" spans="1:7" hidden="1" x14ac:dyDescent="0.5">
      <c r="A27" t="s">
        <v>34</v>
      </c>
      <c r="B27">
        <v>2</v>
      </c>
      <c r="C27">
        <v>0</v>
      </c>
      <c r="D27" t="s">
        <v>116</v>
      </c>
      <c r="E27" t="str">
        <f t="shared" si="0"/>
        <v>YES</v>
      </c>
      <c r="G27">
        <v>0</v>
      </c>
    </row>
    <row r="28" spans="1:7" hidden="1" x14ac:dyDescent="0.5">
      <c r="A28" t="s">
        <v>36</v>
      </c>
      <c r="B28">
        <v>2</v>
      </c>
      <c r="C28">
        <v>0</v>
      </c>
      <c r="D28" t="s">
        <v>116</v>
      </c>
      <c r="E28" t="str">
        <f t="shared" si="0"/>
        <v>YES</v>
      </c>
      <c r="G28">
        <v>0</v>
      </c>
    </row>
    <row r="29" spans="1:7" x14ac:dyDescent="0.5">
      <c r="A29" t="s">
        <v>37</v>
      </c>
      <c r="B29">
        <f>MAIN[[#This Row],[WH Qty]]</f>
        <v>70</v>
      </c>
      <c r="C29">
        <f>MAIN[[#This Row],[GP Qty]]</f>
        <v>0</v>
      </c>
      <c r="D29">
        <v>50</v>
      </c>
      <c r="E29" t="str">
        <f t="shared" si="0"/>
        <v>NO</v>
      </c>
      <c r="G29">
        <v>448</v>
      </c>
    </row>
    <row r="30" spans="1:7" hidden="1" x14ac:dyDescent="0.5">
      <c r="A30" t="s">
        <v>38</v>
      </c>
      <c r="B30">
        <v>0</v>
      </c>
      <c r="C30">
        <v>0</v>
      </c>
      <c r="D30" t="s">
        <v>116</v>
      </c>
      <c r="E30" t="str">
        <f t="shared" si="0"/>
        <v>YES</v>
      </c>
      <c r="G30">
        <v>0</v>
      </c>
    </row>
    <row r="31" spans="1:7" x14ac:dyDescent="0.5">
      <c r="A31" t="s">
        <v>40</v>
      </c>
      <c r="B31">
        <f>MAIN[[#This Row],[WH Qty]]</f>
        <v>49</v>
      </c>
      <c r="C31">
        <f>MAIN[[#This Row],[GP Qty]]</f>
        <v>0</v>
      </c>
      <c r="D31">
        <v>6</v>
      </c>
      <c r="E31" t="str">
        <f t="shared" si="0"/>
        <v>NO</v>
      </c>
      <c r="G31">
        <v>18</v>
      </c>
    </row>
    <row r="32" spans="1:7" x14ac:dyDescent="0.5">
      <c r="A32" t="s">
        <v>39</v>
      </c>
      <c r="B32">
        <f>MAIN[[#This Row],[WH Qty]]</f>
        <v>42</v>
      </c>
      <c r="C32">
        <f>MAIN[[#This Row],[GP Qty]]</f>
        <v>0</v>
      </c>
      <c r="D32">
        <v>6</v>
      </c>
      <c r="E32" t="str">
        <f t="shared" si="0"/>
        <v>NO</v>
      </c>
      <c r="G32">
        <v>18</v>
      </c>
    </row>
    <row r="33" spans="1:7" x14ac:dyDescent="0.5">
      <c r="A33" t="s">
        <v>41</v>
      </c>
      <c r="B33">
        <f>MAIN[[#This Row],[WH Qty]]</f>
        <v>23</v>
      </c>
      <c r="C33">
        <f>MAIN[[#This Row],[GP Qty]]</f>
        <v>0</v>
      </c>
      <c r="D33">
        <v>5</v>
      </c>
      <c r="E33" t="str">
        <f t="shared" si="0"/>
        <v>NO</v>
      </c>
      <c r="G33">
        <v>20</v>
      </c>
    </row>
    <row r="34" spans="1:7" x14ac:dyDescent="0.5">
      <c r="A34" t="s">
        <v>42</v>
      </c>
      <c r="B34">
        <f>MAIN[[#This Row],[WH Qty]]</f>
        <v>20</v>
      </c>
      <c r="C34">
        <f>MAIN[[#This Row],[GP Qty]]</f>
        <v>0</v>
      </c>
      <c r="D34">
        <v>5</v>
      </c>
      <c r="E34" t="str">
        <f t="shared" si="0"/>
        <v>NO</v>
      </c>
      <c r="G34">
        <v>20</v>
      </c>
    </row>
    <row r="35" spans="1:7" x14ac:dyDescent="0.5">
      <c r="A35" t="s">
        <v>43</v>
      </c>
      <c r="B35">
        <f>MAIN[[#This Row],[WH Qty]]</f>
        <v>2</v>
      </c>
      <c r="C35">
        <f>MAIN[[#This Row],[GP Qty]]</f>
        <v>0</v>
      </c>
      <c r="D35">
        <v>2</v>
      </c>
      <c r="E35" t="str">
        <f t="shared" si="0"/>
        <v>YES</v>
      </c>
      <c r="G35">
        <v>10</v>
      </c>
    </row>
    <row r="36" spans="1:7" x14ac:dyDescent="0.5">
      <c r="A36" t="s">
        <v>76</v>
      </c>
      <c r="B36">
        <f>MAIN[[#This Row],[WH Qty]]</f>
        <v>127</v>
      </c>
      <c r="C36">
        <f>MAIN[[#This Row],[GP Qty]]</f>
        <v>0</v>
      </c>
      <c r="D36">
        <v>48</v>
      </c>
      <c r="E36" t="str">
        <f t="shared" si="0"/>
        <v>NO</v>
      </c>
      <c r="G36">
        <v>160</v>
      </c>
    </row>
    <row r="37" spans="1:7" hidden="1" x14ac:dyDescent="0.5">
      <c r="A37" t="s">
        <v>45</v>
      </c>
      <c r="B37">
        <v>1</v>
      </c>
      <c r="C37">
        <v>0</v>
      </c>
      <c r="D37" t="s">
        <v>116</v>
      </c>
      <c r="E37" t="str">
        <f t="shared" si="0"/>
        <v>YES</v>
      </c>
      <c r="G37">
        <v>2</v>
      </c>
    </row>
    <row r="38" spans="1:7" hidden="1" x14ac:dyDescent="0.5">
      <c r="A38" t="s">
        <v>44</v>
      </c>
      <c r="B38">
        <v>1</v>
      </c>
      <c r="C38">
        <v>0</v>
      </c>
      <c r="D38" t="s">
        <v>116</v>
      </c>
      <c r="E38" t="str">
        <f t="shared" si="0"/>
        <v>YES</v>
      </c>
      <c r="G38">
        <v>2</v>
      </c>
    </row>
    <row r="39" spans="1:7" x14ac:dyDescent="0.5">
      <c r="A39" t="s">
        <v>46</v>
      </c>
      <c r="B39">
        <f>MAIN[[#This Row],[WH Qty]]</f>
        <v>104</v>
      </c>
      <c r="C39">
        <f>MAIN[[#This Row],[GP Qty]]</f>
        <v>0</v>
      </c>
      <c r="D39">
        <v>44</v>
      </c>
      <c r="E39" t="str">
        <f t="shared" si="0"/>
        <v>NO</v>
      </c>
      <c r="G39">
        <v>88</v>
      </c>
    </row>
    <row r="40" spans="1:7" x14ac:dyDescent="0.5">
      <c r="A40" t="s">
        <v>47</v>
      </c>
      <c r="B40">
        <f>MAIN[[#This Row],[WH Qty]]</f>
        <v>6</v>
      </c>
      <c r="C40">
        <f>MAIN[[#This Row],[GP Qty]]</f>
        <v>0</v>
      </c>
      <c r="D40">
        <v>2</v>
      </c>
      <c r="E40" t="str">
        <f t="shared" si="0"/>
        <v>NO</v>
      </c>
      <c r="G40">
        <v>10</v>
      </c>
    </row>
    <row r="41" spans="1:7" x14ac:dyDescent="0.5">
      <c r="A41" t="s">
        <v>48</v>
      </c>
      <c r="B41">
        <f>MAIN[[#This Row],[WH Qty]]</f>
        <v>7</v>
      </c>
      <c r="C41">
        <f>MAIN[[#This Row],[GP Qty]]</f>
        <v>0</v>
      </c>
      <c r="D41">
        <v>2</v>
      </c>
      <c r="E41" t="str">
        <f t="shared" si="0"/>
        <v>NO</v>
      </c>
      <c r="G41">
        <v>10</v>
      </c>
    </row>
    <row r="42" spans="1:7" x14ac:dyDescent="0.5">
      <c r="A42" t="s">
        <v>49</v>
      </c>
      <c r="B42">
        <f>MAIN[[#This Row],[WH Qty]]</f>
        <v>305</v>
      </c>
      <c r="C42">
        <f>MAIN[[#This Row],[GP Qty]]</f>
        <v>2280</v>
      </c>
      <c r="D42">
        <v>300</v>
      </c>
      <c r="E42" t="str">
        <f t="shared" si="0"/>
        <v>NO</v>
      </c>
      <c r="G42">
        <v>1440</v>
      </c>
    </row>
    <row r="43" spans="1:7" x14ac:dyDescent="0.5">
      <c r="A43" t="s">
        <v>50</v>
      </c>
      <c r="B43">
        <f>MAIN[[#This Row],[WH Qty]]</f>
        <v>445</v>
      </c>
      <c r="C43">
        <f>MAIN[[#This Row],[GP Qty]]</f>
        <v>800</v>
      </c>
      <c r="D43">
        <v>200</v>
      </c>
      <c r="E43" t="str">
        <f t="shared" si="0"/>
        <v>NO</v>
      </c>
      <c r="G43">
        <v>960</v>
      </c>
    </row>
    <row r="44" spans="1:7" x14ac:dyDescent="0.5">
      <c r="A44" t="s">
        <v>51</v>
      </c>
      <c r="B44">
        <f>MAIN[[#This Row],[WH Qty]]</f>
        <v>10</v>
      </c>
      <c r="C44">
        <f>MAIN[[#This Row],[GP Qty]]</f>
        <v>0</v>
      </c>
      <c r="D44">
        <v>5</v>
      </c>
      <c r="E44" t="str">
        <f t="shared" si="0"/>
        <v>NO</v>
      </c>
      <c r="G44">
        <v>20</v>
      </c>
    </row>
    <row r="45" spans="1:7" x14ac:dyDescent="0.5">
      <c r="A45" t="s">
        <v>52</v>
      </c>
      <c r="B45">
        <f>MAIN[[#This Row],[WH Qty]]</f>
        <v>161</v>
      </c>
      <c r="C45">
        <f>MAIN[[#This Row],[GP Qty]]</f>
        <v>1000</v>
      </c>
      <c r="D45">
        <v>40</v>
      </c>
      <c r="E45" t="str">
        <f t="shared" si="0"/>
        <v>NO</v>
      </c>
      <c r="G45">
        <v>240</v>
      </c>
    </row>
    <row r="46" spans="1:7" x14ac:dyDescent="0.5">
      <c r="A46" t="s">
        <v>53</v>
      </c>
      <c r="B46">
        <f>MAIN[[#This Row],[WH Qty]]</f>
        <v>191</v>
      </c>
      <c r="C46">
        <f>MAIN[[#This Row],[GP Qty]]</f>
        <v>400</v>
      </c>
      <c r="D46">
        <v>40</v>
      </c>
      <c r="E46" t="str">
        <f t="shared" si="0"/>
        <v>NO</v>
      </c>
      <c r="G46">
        <v>240</v>
      </c>
    </row>
    <row r="47" spans="1:7" hidden="1" x14ac:dyDescent="0.5">
      <c r="A47" t="s">
        <v>54</v>
      </c>
      <c r="B47">
        <v>21</v>
      </c>
      <c r="C47">
        <v>0</v>
      </c>
      <c r="D47" t="s">
        <v>116</v>
      </c>
      <c r="E47" t="str">
        <f t="shared" si="0"/>
        <v>YES</v>
      </c>
      <c r="G47">
        <v>0</v>
      </c>
    </row>
    <row r="48" spans="1:7" x14ac:dyDescent="0.5">
      <c r="A48" t="s">
        <v>55</v>
      </c>
      <c r="B48">
        <f>MAIN[[#This Row],[WH Qty]]</f>
        <v>1149</v>
      </c>
      <c r="C48">
        <f>MAIN[[#This Row],[GP Qty]]</f>
        <v>0</v>
      </c>
      <c r="D48">
        <v>588</v>
      </c>
      <c r="E48" t="str">
        <f t="shared" si="0"/>
        <v>NO</v>
      </c>
      <c r="G48">
        <v>931</v>
      </c>
    </row>
    <row r="49" spans="1:7" x14ac:dyDescent="0.5">
      <c r="A49" t="s">
        <v>56</v>
      </c>
      <c r="B49">
        <f>MAIN[[#This Row],[WH Qty]]</f>
        <v>96</v>
      </c>
      <c r="C49">
        <f>MAIN[[#This Row],[GP Qty]]</f>
        <v>0</v>
      </c>
      <c r="D49">
        <v>120</v>
      </c>
      <c r="E49" t="str">
        <f t="shared" si="0"/>
        <v>YES</v>
      </c>
      <c r="G49">
        <v>600</v>
      </c>
    </row>
    <row r="50" spans="1:7" x14ac:dyDescent="0.5">
      <c r="A50" t="s">
        <v>57</v>
      </c>
      <c r="B50">
        <f>MAIN[[#This Row],[WH Qty]]</f>
        <v>32</v>
      </c>
      <c r="C50">
        <f>MAIN[[#This Row],[GP Qty]]</f>
        <v>0</v>
      </c>
      <c r="D50">
        <v>2</v>
      </c>
      <c r="E50" t="str">
        <f t="shared" si="0"/>
        <v>NO</v>
      </c>
      <c r="G50">
        <v>10</v>
      </c>
    </row>
    <row r="51" spans="1:7" x14ac:dyDescent="0.5">
      <c r="A51" t="s">
        <v>65</v>
      </c>
      <c r="B51">
        <f>MAIN[[#This Row],[WH Qty]]</f>
        <v>506</v>
      </c>
      <c r="C51">
        <f>MAIN[[#This Row],[GP Qty]]</f>
        <v>0</v>
      </c>
      <c r="D51">
        <v>120</v>
      </c>
      <c r="E51" t="str">
        <f t="shared" si="0"/>
        <v>NO</v>
      </c>
      <c r="G51">
        <v>2000</v>
      </c>
    </row>
    <row r="52" spans="1:7" x14ac:dyDescent="0.5">
      <c r="A52" t="s">
        <v>58</v>
      </c>
      <c r="B52">
        <f>MAIN[[#This Row],[WH Qty]]</f>
        <v>178</v>
      </c>
      <c r="C52">
        <f>MAIN[[#This Row],[GP Qty]]</f>
        <v>0</v>
      </c>
      <c r="D52">
        <v>120</v>
      </c>
      <c r="E52" t="str">
        <f t="shared" si="0"/>
        <v>NO</v>
      </c>
      <c r="G52">
        <v>400</v>
      </c>
    </row>
    <row r="53" spans="1:7" x14ac:dyDescent="0.5">
      <c r="A53" t="s">
        <v>59</v>
      </c>
      <c r="B53">
        <f>MAIN[[#This Row],[WH Qty]]</f>
        <v>42</v>
      </c>
      <c r="C53">
        <f>MAIN[[#This Row],[GP Qty]]</f>
        <v>0</v>
      </c>
      <c r="D53">
        <v>20</v>
      </c>
      <c r="E53" t="str">
        <f t="shared" si="0"/>
        <v>NO</v>
      </c>
      <c r="G53">
        <v>60</v>
      </c>
    </row>
    <row r="54" spans="1:7" x14ac:dyDescent="0.5">
      <c r="A54" t="s">
        <v>60</v>
      </c>
      <c r="B54">
        <f>MAIN[[#This Row],[WH Qty]]</f>
        <v>260</v>
      </c>
      <c r="C54">
        <f>MAIN[[#This Row],[GP Qty]]</f>
        <v>0</v>
      </c>
      <c r="D54">
        <v>20</v>
      </c>
      <c r="E54" t="str">
        <f t="shared" si="0"/>
        <v>NO</v>
      </c>
      <c r="G54">
        <v>100</v>
      </c>
    </row>
    <row r="55" spans="1:7" x14ac:dyDescent="0.5">
      <c r="A55" t="s">
        <v>61</v>
      </c>
      <c r="B55">
        <f>MAIN[[#This Row],[WH Qty]]</f>
        <v>35</v>
      </c>
      <c r="C55">
        <f>MAIN[[#This Row],[GP Qty]]</f>
        <v>0</v>
      </c>
      <c r="D55">
        <v>20</v>
      </c>
      <c r="E55" t="str">
        <f t="shared" si="0"/>
        <v>NO</v>
      </c>
      <c r="G55">
        <v>60</v>
      </c>
    </row>
    <row r="56" spans="1:7" x14ac:dyDescent="0.5">
      <c r="A56" t="s">
        <v>63</v>
      </c>
      <c r="B56">
        <f>MAIN[[#This Row],[WH Qty]]</f>
        <v>24</v>
      </c>
      <c r="C56">
        <f>MAIN[[#This Row],[GP Qty]]</f>
        <v>0</v>
      </c>
      <c r="D56">
        <v>25</v>
      </c>
      <c r="E56" t="str">
        <f t="shared" si="0"/>
        <v>YES</v>
      </c>
      <c r="G56">
        <v>100</v>
      </c>
    </row>
    <row r="57" spans="1:7" x14ac:dyDescent="0.5">
      <c r="A57" t="s">
        <v>64</v>
      </c>
      <c r="B57">
        <f>MAIN[[#This Row],[WH Qty]]</f>
        <v>1461</v>
      </c>
      <c r="C57">
        <f>MAIN[[#This Row],[GP Qty]]</f>
        <v>0</v>
      </c>
      <c r="D57">
        <v>400</v>
      </c>
      <c r="E57" t="str">
        <f t="shared" si="0"/>
        <v>NO</v>
      </c>
      <c r="G57">
        <v>1600</v>
      </c>
    </row>
    <row r="58" spans="1:7" x14ac:dyDescent="0.5">
      <c r="A58" t="s">
        <v>62</v>
      </c>
      <c r="B58">
        <f>MAIN[[#This Row],[WH Qty]]</f>
        <v>8</v>
      </c>
      <c r="C58">
        <f>MAIN[[#This Row],[GP Qty]]</f>
        <v>0</v>
      </c>
      <c r="D58">
        <v>5</v>
      </c>
      <c r="E58" t="str">
        <f t="shared" si="0"/>
        <v>NO</v>
      </c>
      <c r="G58">
        <v>20</v>
      </c>
    </row>
    <row r="59" spans="1:7" x14ac:dyDescent="0.5">
      <c r="A59" t="s">
        <v>66</v>
      </c>
      <c r="B59">
        <f>MAIN[[#This Row],[WH Qty]]</f>
        <v>26</v>
      </c>
      <c r="C59">
        <f>MAIN[[#This Row],[GP Qty]]</f>
        <v>0</v>
      </c>
      <c r="D59">
        <v>5</v>
      </c>
      <c r="E59" t="str">
        <f t="shared" si="0"/>
        <v>NO</v>
      </c>
      <c r="G59">
        <v>20</v>
      </c>
    </row>
    <row r="60" spans="1:7" x14ac:dyDescent="0.5">
      <c r="A60" t="s">
        <v>67</v>
      </c>
      <c r="B60">
        <f>MAIN[[#This Row],[WH Qty]]</f>
        <v>8</v>
      </c>
      <c r="C60">
        <f>MAIN[[#This Row],[GP Qty]]</f>
        <v>0</v>
      </c>
      <c r="D60">
        <v>3</v>
      </c>
      <c r="E60" t="str">
        <f t="shared" si="0"/>
        <v>NO</v>
      </c>
      <c r="G60">
        <v>10</v>
      </c>
    </row>
    <row r="61" spans="1:7" x14ac:dyDescent="0.5">
      <c r="A61" t="s">
        <v>68</v>
      </c>
      <c r="B61">
        <f>MAIN[[#This Row],[WH Qty]]</f>
        <v>8</v>
      </c>
      <c r="C61">
        <f>MAIN[[#This Row],[GP Qty]]</f>
        <v>0</v>
      </c>
      <c r="D61">
        <v>3</v>
      </c>
      <c r="E61" t="str">
        <f t="shared" si="0"/>
        <v>NO</v>
      </c>
      <c r="G61">
        <v>10</v>
      </c>
    </row>
    <row r="62" spans="1:7" x14ac:dyDescent="0.5">
      <c r="A62" t="s">
        <v>69</v>
      </c>
      <c r="B62">
        <f>MAIN[[#This Row],[WH Qty]]</f>
        <v>2</v>
      </c>
      <c r="C62">
        <f>MAIN[[#This Row],[GP Qty]]</f>
        <v>0</v>
      </c>
      <c r="D62">
        <v>1</v>
      </c>
      <c r="E62" t="str">
        <f t="shared" si="0"/>
        <v>NO</v>
      </c>
      <c r="G62">
        <v>4</v>
      </c>
    </row>
    <row r="63" spans="1:7" x14ac:dyDescent="0.5">
      <c r="A63" t="s">
        <v>70</v>
      </c>
      <c r="B63">
        <f>MAIN[[#This Row],[WH Qty]]</f>
        <v>2</v>
      </c>
      <c r="C63">
        <f>MAIN[[#This Row],[GP Qty]]</f>
        <v>0</v>
      </c>
      <c r="D63">
        <v>1</v>
      </c>
      <c r="E63" t="str">
        <f t="shared" si="0"/>
        <v>NO</v>
      </c>
      <c r="G63">
        <v>2</v>
      </c>
    </row>
    <row r="64" spans="1:7" x14ac:dyDescent="0.5">
      <c r="A64" t="s">
        <v>71</v>
      </c>
      <c r="B64">
        <f>MAIN[[#This Row],[WH Qty]]</f>
        <v>4</v>
      </c>
      <c r="C64">
        <f>MAIN[[#This Row],[GP Qty]]</f>
        <v>0</v>
      </c>
      <c r="D64">
        <v>1</v>
      </c>
      <c r="E64" t="str">
        <f t="shared" si="0"/>
        <v>NO</v>
      </c>
      <c r="G64">
        <v>4</v>
      </c>
    </row>
    <row r="65" spans="1:7" x14ac:dyDescent="0.5">
      <c r="A65" t="s">
        <v>72</v>
      </c>
      <c r="B65">
        <f>MAIN[[#This Row],[WH Qty]]</f>
        <v>3</v>
      </c>
      <c r="C65">
        <f>MAIN[[#This Row],[GP Qty]]</f>
        <v>0</v>
      </c>
      <c r="D65">
        <v>1</v>
      </c>
      <c r="E65" t="str">
        <f t="shared" si="0"/>
        <v>NO</v>
      </c>
      <c r="G65">
        <v>4</v>
      </c>
    </row>
    <row r="66" spans="1:7" x14ac:dyDescent="0.5">
      <c r="A66" t="s">
        <v>73</v>
      </c>
      <c r="B66">
        <f>MAIN[[#This Row],[WH Qty]]</f>
        <v>0</v>
      </c>
      <c r="C66">
        <f>MAIN[[#This Row],[GP Qty]]</f>
        <v>0</v>
      </c>
      <c r="D66">
        <v>1</v>
      </c>
      <c r="E66" t="str">
        <f t="shared" si="0"/>
        <v>YES</v>
      </c>
      <c r="G66">
        <v>2</v>
      </c>
    </row>
    <row r="67" spans="1:7" hidden="1" x14ac:dyDescent="0.5">
      <c r="A67" t="s">
        <v>74</v>
      </c>
      <c r="B67">
        <v>0</v>
      </c>
      <c r="C67">
        <v>0</v>
      </c>
      <c r="D67" t="s">
        <v>116</v>
      </c>
      <c r="E67" t="str">
        <f t="shared" ref="E67:E110" si="1">IF((B67+C67)&lt;=D67, "YES", "NO")</f>
        <v>YES</v>
      </c>
      <c r="G67">
        <v>0</v>
      </c>
    </row>
    <row r="68" spans="1:7" x14ac:dyDescent="0.5">
      <c r="A68" t="s">
        <v>75</v>
      </c>
      <c r="B68">
        <f>MAIN[[#This Row],[WH Qty]]</f>
        <v>7</v>
      </c>
      <c r="C68">
        <f>MAIN[[#This Row],[GP Qty]]</f>
        <v>0</v>
      </c>
      <c r="D68">
        <v>2</v>
      </c>
      <c r="E68" t="str">
        <f t="shared" si="1"/>
        <v>NO</v>
      </c>
      <c r="G68">
        <v>8</v>
      </c>
    </row>
    <row r="69" spans="1:7" x14ac:dyDescent="0.5">
      <c r="A69" t="s">
        <v>77</v>
      </c>
      <c r="B69">
        <f>MAIN[[#This Row],[WH Qty]]</f>
        <v>14</v>
      </c>
      <c r="C69">
        <f>MAIN[[#This Row],[GP Qty]]</f>
        <v>0</v>
      </c>
      <c r="D69">
        <v>5</v>
      </c>
      <c r="E69" t="str">
        <f t="shared" si="1"/>
        <v>NO</v>
      </c>
      <c r="G69">
        <v>20</v>
      </c>
    </row>
    <row r="70" spans="1:7" x14ac:dyDescent="0.5">
      <c r="A70" t="s">
        <v>78</v>
      </c>
      <c r="B70">
        <f>MAIN[[#This Row],[WH Qty]]</f>
        <v>129</v>
      </c>
      <c r="C70">
        <f>MAIN[[#This Row],[GP Qty]]</f>
        <v>0</v>
      </c>
      <c r="D70">
        <v>400</v>
      </c>
      <c r="E70" t="str">
        <f t="shared" si="1"/>
        <v>YES</v>
      </c>
      <c r="G70">
        <v>900</v>
      </c>
    </row>
    <row r="71" spans="1:7" hidden="1" x14ac:dyDescent="0.5">
      <c r="A71" t="s">
        <v>79</v>
      </c>
      <c r="B71">
        <v>190</v>
      </c>
      <c r="C71">
        <v>0</v>
      </c>
      <c r="D71" t="s">
        <v>116</v>
      </c>
      <c r="E71" t="str">
        <f t="shared" si="1"/>
        <v>YES</v>
      </c>
      <c r="G71">
        <v>0</v>
      </c>
    </row>
    <row r="72" spans="1:7" x14ac:dyDescent="0.5">
      <c r="A72" t="s">
        <v>80</v>
      </c>
      <c r="B72">
        <f>MAIN[[#This Row],[WH Qty]]</f>
        <v>2450</v>
      </c>
      <c r="C72">
        <f>MAIN[[#This Row],[GP Qty]]</f>
        <v>0</v>
      </c>
      <c r="D72">
        <v>600</v>
      </c>
      <c r="E72" t="str">
        <f t="shared" si="1"/>
        <v>NO</v>
      </c>
      <c r="G72">
        <v>1200</v>
      </c>
    </row>
    <row r="73" spans="1:7" x14ac:dyDescent="0.5">
      <c r="A73" t="s">
        <v>81</v>
      </c>
      <c r="B73">
        <f>MAIN[[#This Row],[WH Qty]]</f>
        <v>2275</v>
      </c>
      <c r="C73">
        <f>MAIN[[#This Row],[GP Qty]]</f>
        <v>0</v>
      </c>
      <c r="D73">
        <v>1250</v>
      </c>
      <c r="E73" t="str">
        <f t="shared" si="1"/>
        <v>NO</v>
      </c>
      <c r="G73">
        <v>2500</v>
      </c>
    </row>
    <row r="74" spans="1:7" x14ac:dyDescent="0.5">
      <c r="A74" t="s">
        <v>82</v>
      </c>
      <c r="B74">
        <f>MAIN[[#This Row],[WH Qty]]</f>
        <v>80</v>
      </c>
      <c r="C74">
        <f>MAIN[[#This Row],[GP Qty]]</f>
        <v>0</v>
      </c>
      <c r="D74">
        <v>100</v>
      </c>
      <c r="E74" t="str">
        <f t="shared" si="1"/>
        <v>YES</v>
      </c>
      <c r="G74">
        <v>400</v>
      </c>
    </row>
    <row r="75" spans="1:7" hidden="1" x14ac:dyDescent="0.5">
      <c r="A75" t="s">
        <v>83</v>
      </c>
      <c r="B75">
        <v>0</v>
      </c>
      <c r="C75">
        <v>0</v>
      </c>
      <c r="D75" t="s">
        <v>116</v>
      </c>
      <c r="E75" t="str">
        <f t="shared" si="1"/>
        <v>YES</v>
      </c>
      <c r="G75">
        <v>0</v>
      </c>
    </row>
    <row r="76" spans="1:7" x14ac:dyDescent="0.5">
      <c r="A76" t="s">
        <v>84</v>
      </c>
      <c r="B76">
        <f>MAIN[[#This Row],[WH Qty]]</f>
        <v>185</v>
      </c>
      <c r="C76">
        <f>MAIN[[#This Row],[GP Qty]]</f>
        <v>0</v>
      </c>
      <c r="D76">
        <v>62</v>
      </c>
      <c r="E76" t="str">
        <f t="shared" si="1"/>
        <v>NO</v>
      </c>
      <c r="G76">
        <v>186</v>
      </c>
    </row>
    <row r="77" spans="1:7" x14ac:dyDescent="0.5">
      <c r="A77" t="s">
        <v>85</v>
      </c>
      <c r="B77">
        <f>MAIN[[#This Row],[WH Qty]]</f>
        <v>65</v>
      </c>
      <c r="C77">
        <f>MAIN[[#This Row],[GP Qty]]</f>
        <v>0</v>
      </c>
      <c r="D77">
        <v>300</v>
      </c>
      <c r="E77" t="str">
        <f t="shared" si="1"/>
        <v>YES</v>
      </c>
      <c r="G77">
        <v>771</v>
      </c>
    </row>
    <row r="78" spans="1:7" x14ac:dyDescent="0.5">
      <c r="A78" t="s">
        <v>86</v>
      </c>
      <c r="B78">
        <f>MAIN[[#This Row],[WH Qty]]</f>
        <v>7</v>
      </c>
      <c r="C78">
        <f>MAIN[[#This Row],[GP Qty]]</f>
        <v>0</v>
      </c>
      <c r="D78">
        <v>10</v>
      </c>
      <c r="E78" t="str">
        <f t="shared" si="1"/>
        <v>YES</v>
      </c>
      <c r="G78">
        <v>24</v>
      </c>
    </row>
    <row r="79" spans="1:7" hidden="1" x14ac:dyDescent="0.5">
      <c r="A79" t="s">
        <v>87</v>
      </c>
      <c r="B79">
        <v>52</v>
      </c>
      <c r="C79">
        <v>0</v>
      </c>
      <c r="D79" t="s">
        <v>116</v>
      </c>
      <c r="E79" t="str">
        <f t="shared" si="1"/>
        <v>YES</v>
      </c>
      <c r="G79">
        <v>0</v>
      </c>
    </row>
    <row r="80" spans="1:7" x14ac:dyDescent="0.5">
      <c r="A80" t="s">
        <v>88</v>
      </c>
      <c r="B80">
        <f>MAIN[[#This Row],[WH Qty]]</f>
        <v>216</v>
      </c>
      <c r="C80">
        <f>MAIN[[#This Row],[GP Qty]]</f>
        <v>0</v>
      </c>
      <c r="D80">
        <v>100</v>
      </c>
      <c r="E80" t="str">
        <f t="shared" si="1"/>
        <v>NO</v>
      </c>
      <c r="G80">
        <v>400</v>
      </c>
    </row>
    <row r="81" spans="1:7" x14ac:dyDescent="0.5">
      <c r="A81" t="s">
        <v>89</v>
      </c>
      <c r="B81">
        <f>MAIN[[#This Row],[WH Qty]]</f>
        <v>39</v>
      </c>
      <c r="C81">
        <f>MAIN[[#This Row],[GP Qty]]</f>
        <v>0</v>
      </c>
      <c r="D81">
        <v>10</v>
      </c>
      <c r="E81" t="str">
        <f t="shared" si="1"/>
        <v>NO</v>
      </c>
      <c r="G81">
        <v>30</v>
      </c>
    </row>
    <row r="82" spans="1:7" x14ac:dyDescent="0.5">
      <c r="A82" t="s">
        <v>90</v>
      </c>
      <c r="B82">
        <f>MAIN[[#This Row],[WH Qty]]</f>
        <v>5</v>
      </c>
      <c r="C82">
        <f>MAIN[[#This Row],[GP Qty]]</f>
        <v>0</v>
      </c>
      <c r="D82">
        <v>3</v>
      </c>
      <c r="E82" t="str">
        <f t="shared" si="1"/>
        <v>NO</v>
      </c>
      <c r="G82">
        <v>10</v>
      </c>
    </row>
    <row r="83" spans="1:7" x14ac:dyDescent="0.5">
      <c r="A83" t="s">
        <v>91</v>
      </c>
      <c r="B83">
        <f>MAIN[[#This Row],[WH Qty]]</f>
        <v>4</v>
      </c>
      <c r="C83">
        <f>MAIN[[#This Row],[GP Qty]]</f>
        <v>0</v>
      </c>
      <c r="D83">
        <v>5</v>
      </c>
      <c r="E83" t="str">
        <f t="shared" si="1"/>
        <v>YES</v>
      </c>
      <c r="G83">
        <v>20</v>
      </c>
    </row>
    <row r="84" spans="1:7" x14ac:dyDescent="0.5">
      <c r="A84" t="s">
        <v>92</v>
      </c>
      <c r="B84">
        <f>MAIN[[#This Row],[WH Qty]]</f>
        <v>10</v>
      </c>
      <c r="C84">
        <f>MAIN[[#This Row],[GP Qty]]</f>
        <v>0</v>
      </c>
      <c r="D84">
        <v>6</v>
      </c>
      <c r="E84" t="str">
        <f t="shared" si="1"/>
        <v>NO</v>
      </c>
      <c r="G84">
        <v>30</v>
      </c>
    </row>
    <row r="85" spans="1:7" x14ac:dyDescent="0.5">
      <c r="A85" t="s">
        <v>93</v>
      </c>
      <c r="B85">
        <f>MAIN[[#This Row],[WH Qty]]</f>
        <v>9</v>
      </c>
      <c r="C85">
        <f>MAIN[[#This Row],[GP Qty]]</f>
        <v>0</v>
      </c>
      <c r="D85">
        <v>6</v>
      </c>
      <c r="E85" t="str">
        <f t="shared" si="1"/>
        <v>NO</v>
      </c>
      <c r="G85">
        <v>30</v>
      </c>
    </row>
    <row r="86" spans="1:7" hidden="1" x14ac:dyDescent="0.5">
      <c r="A86" t="s">
        <v>95</v>
      </c>
      <c r="B86">
        <v>0</v>
      </c>
      <c r="C86">
        <v>0</v>
      </c>
      <c r="D86" t="s">
        <v>116</v>
      </c>
      <c r="E86" t="str">
        <f t="shared" si="1"/>
        <v>YES</v>
      </c>
      <c r="G86">
        <v>0</v>
      </c>
    </row>
    <row r="87" spans="1:7" x14ac:dyDescent="0.5">
      <c r="A87" t="s">
        <v>94</v>
      </c>
      <c r="B87">
        <f>MAIN[[#This Row],[WH Qty]]</f>
        <v>20</v>
      </c>
      <c r="C87">
        <f>MAIN[[#This Row],[GP Qty]]</f>
        <v>0</v>
      </c>
      <c r="D87">
        <v>10</v>
      </c>
      <c r="E87" t="str">
        <f t="shared" si="1"/>
        <v>NO</v>
      </c>
      <c r="G87">
        <v>50</v>
      </c>
    </row>
    <row r="88" spans="1:7" x14ac:dyDescent="0.5">
      <c r="A88" t="s">
        <v>96</v>
      </c>
      <c r="B88">
        <f>MAIN[[#This Row],[WH Qty]]</f>
        <v>9</v>
      </c>
      <c r="C88">
        <f>MAIN[[#This Row],[GP Qty]]</f>
        <v>0</v>
      </c>
      <c r="D88">
        <v>10</v>
      </c>
      <c r="E88" t="str">
        <f t="shared" si="1"/>
        <v>YES</v>
      </c>
      <c r="G88">
        <v>30</v>
      </c>
    </row>
    <row r="89" spans="1:7" hidden="1" x14ac:dyDescent="0.5">
      <c r="A89" t="s">
        <v>97</v>
      </c>
      <c r="B89">
        <v>0</v>
      </c>
      <c r="C89">
        <v>0</v>
      </c>
      <c r="D89" t="s">
        <v>116</v>
      </c>
      <c r="E89" t="str">
        <f t="shared" si="1"/>
        <v>YES</v>
      </c>
      <c r="G89">
        <v>0</v>
      </c>
    </row>
    <row r="90" spans="1:7" x14ac:dyDescent="0.5">
      <c r="A90" t="s">
        <v>98</v>
      </c>
      <c r="B90">
        <f>MAIN[[#This Row],[WH Qty]]</f>
        <v>2250</v>
      </c>
      <c r="C90">
        <f>MAIN[[#This Row],[GP Qty]]</f>
        <v>0</v>
      </c>
      <c r="D90">
        <v>600</v>
      </c>
      <c r="E90" t="str">
        <f t="shared" si="1"/>
        <v>NO</v>
      </c>
      <c r="G90">
        <v>2000</v>
      </c>
    </row>
    <row r="91" spans="1:7" x14ac:dyDescent="0.5">
      <c r="A91" t="s">
        <v>99</v>
      </c>
      <c r="B91">
        <f>MAIN[[#This Row],[WH Qty]]</f>
        <v>3100</v>
      </c>
      <c r="C91">
        <f>MAIN[[#This Row],[GP Qty]]</f>
        <v>0</v>
      </c>
      <c r="D91">
        <v>1200</v>
      </c>
      <c r="E91" t="str">
        <f t="shared" si="1"/>
        <v>NO</v>
      </c>
      <c r="G91">
        <v>4000</v>
      </c>
    </row>
    <row r="92" spans="1:7" x14ac:dyDescent="0.5">
      <c r="A92" t="s">
        <v>100</v>
      </c>
      <c r="B92">
        <f>MAIN[[#This Row],[WH Qty]]</f>
        <v>45</v>
      </c>
      <c r="C92">
        <f>MAIN[[#This Row],[GP Qty]]</f>
        <v>0</v>
      </c>
      <c r="D92">
        <v>60</v>
      </c>
      <c r="E92" t="str">
        <f t="shared" si="1"/>
        <v>YES</v>
      </c>
      <c r="G92">
        <v>400</v>
      </c>
    </row>
    <row r="93" spans="1:7" hidden="1" x14ac:dyDescent="0.5">
      <c r="A93" t="s">
        <v>101</v>
      </c>
      <c r="B93">
        <v>0</v>
      </c>
      <c r="C93">
        <v>0</v>
      </c>
      <c r="D93" t="s">
        <v>116</v>
      </c>
      <c r="E93" t="str">
        <f t="shared" si="1"/>
        <v>YES</v>
      </c>
      <c r="G93">
        <v>0</v>
      </c>
    </row>
    <row r="94" spans="1:7" x14ac:dyDescent="0.5">
      <c r="A94" t="s">
        <v>102</v>
      </c>
      <c r="B94">
        <f>MAIN[[#This Row],[WH Qty]]</f>
        <v>163</v>
      </c>
      <c r="C94">
        <f>MAIN[[#This Row],[GP Qty]]</f>
        <v>0</v>
      </c>
      <c r="D94">
        <v>50</v>
      </c>
      <c r="E94" t="str">
        <f t="shared" si="1"/>
        <v>NO</v>
      </c>
      <c r="G94">
        <v>150</v>
      </c>
    </row>
    <row r="95" spans="1:7" x14ac:dyDescent="0.5">
      <c r="A95" t="s">
        <v>103</v>
      </c>
      <c r="B95">
        <f>MAIN[[#This Row],[WH Qty]]</f>
        <v>215</v>
      </c>
      <c r="C95">
        <f>MAIN[[#This Row],[GP Qty]]</f>
        <v>0</v>
      </c>
      <c r="D95">
        <v>100</v>
      </c>
      <c r="E95" t="str">
        <f t="shared" si="1"/>
        <v>NO</v>
      </c>
      <c r="G95">
        <v>300</v>
      </c>
    </row>
    <row r="96" spans="1:7" x14ac:dyDescent="0.5">
      <c r="A96" t="s">
        <v>104</v>
      </c>
      <c r="B96">
        <f>MAIN[[#This Row],[WH Qty]]</f>
        <v>11</v>
      </c>
      <c r="C96">
        <f>MAIN[[#This Row],[GP Qty]]</f>
        <v>0</v>
      </c>
      <c r="D96">
        <v>3</v>
      </c>
      <c r="E96" t="str">
        <f t="shared" si="1"/>
        <v>NO</v>
      </c>
      <c r="G96">
        <v>15</v>
      </c>
    </row>
    <row r="97" spans="1:7" x14ac:dyDescent="0.5">
      <c r="A97" t="s">
        <v>105</v>
      </c>
      <c r="B97">
        <f>MAIN[[#This Row],[WH Qty]]</f>
        <v>525</v>
      </c>
      <c r="C97">
        <f>MAIN[[#This Row],[GP Qty]]</f>
        <v>0</v>
      </c>
      <c r="D97">
        <v>100</v>
      </c>
      <c r="E97" t="str">
        <f t="shared" si="1"/>
        <v>NO</v>
      </c>
      <c r="G97">
        <v>400</v>
      </c>
    </row>
    <row r="98" spans="1:7" x14ac:dyDescent="0.5">
      <c r="A98" t="s">
        <v>106</v>
      </c>
      <c r="B98">
        <f>MAIN[[#This Row],[WH Qty]]</f>
        <v>164</v>
      </c>
      <c r="C98">
        <f>MAIN[[#This Row],[GP Qty]]</f>
        <v>0</v>
      </c>
      <c r="D98">
        <v>50</v>
      </c>
      <c r="E98" t="str">
        <f t="shared" si="1"/>
        <v>NO</v>
      </c>
      <c r="G98">
        <v>200</v>
      </c>
    </row>
    <row r="99" spans="1:7" x14ac:dyDescent="0.5">
      <c r="A99" t="s">
        <v>107</v>
      </c>
      <c r="B99">
        <f>MAIN[[#This Row],[WH Qty]]</f>
        <v>23</v>
      </c>
      <c r="C99">
        <f>MAIN[[#This Row],[GP Qty]]</f>
        <v>0</v>
      </c>
      <c r="D99">
        <v>10</v>
      </c>
      <c r="E99" t="str">
        <f t="shared" si="1"/>
        <v>NO</v>
      </c>
      <c r="G99">
        <v>30</v>
      </c>
    </row>
    <row r="100" spans="1:7" x14ac:dyDescent="0.5">
      <c r="A100" t="s">
        <v>108</v>
      </c>
      <c r="B100">
        <f>MAIN[[#This Row],[WH Qty]]</f>
        <v>42</v>
      </c>
      <c r="C100">
        <f>MAIN[[#This Row],[GP Qty]]</f>
        <v>0</v>
      </c>
      <c r="D100">
        <v>10</v>
      </c>
      <c r="E100" t="str">
        <f t="shared" si="1"/>
        <v>NO</v>
      </c>
      <c r="G100">
        <v>50</v>
      </c>
    </row>
    <row r="101" spans="1:7" x14ac:dyDescent="0.5">
      <c r="A101" t="s">
        <v>122</v>
      </c>
      <c r="B101">
        <f>MAIN[[#This Row],[WH Qty]]</f>
        <v>9</v>
      </c>
      <c r="C101">
        <f>MAIN[[#This Row],[GP Qty]]</f>
        <v>0</v>
      </c>
      <c r="D101">
        <v>6</v>
      </c>
      <c r="E101" t="str">
        <f t="shared" si="1"/>
        <v>NO</v>
      </c>
      <c r="G101">
        <v>20</v>
      </c>
    </row>
    <row r="102" spans="1:7" x14ac:dyDescent="0.5">
      <c r="A102" t="s">
        <v>111</v>
      </c>
      <c r="B102">
        <f>MAIN[[#This Row],[WH Qty]]</f>
        <v>50</v>
      </c>
      <c r="C102">
        <f>MAIN[[#This Row],[GP Qty]]</f>
        <v>0</v>
      </c>
      <c r="D102">
        <v>50</v>
      </c>
      <c r="E102" t="str">
        <f t="shared" si="1"/>
        <v>YES</v>
      </c>
      <c r="G102">
        <v>120</v>
      </c>
    </row>
    <row r="103" spans="1:7" x14ac:dyDescent="0.5">
      <c r="A103" t="s">
        <v>109</v>
      </c>
      <c r="B103">
        <f>MAIN[[#This Row],[WH Qty]]</f>
        <v>0</v>
      </c>
      <c r="C103">
        <f>MAIN[[#This Row],[GP Qty]]</f>
        <v>0</v>
      </c>
      <c r="D103">
        <v>3</v>
      </c>
      <c r="E103" t="str">
        <f t="shared" si="1"/>
        <v>YES</v>
      </c>
      <c r="G103">
        <v>18</v>
      </c>
    </row>
    <row r="104" spans="1:7" hidden="1" x14ac:dyDescent="0.5">
      <c r="A104" t="s">
        <v>123</v>
      </c>
      <c r="B104">
        <v>8</v>
      </c>
      <c r="C104">
        <v>0</v>
      </c>
      <c r="D104" t="s">
        <v>116</v>
      </c>
      <c r="E104" t="str">
        <f t="shared" si="1"/>
        <v>YES</v>
      </c>
      <c r="G104">
        <v>8</v>
      </c>
    </row>
    <row r="105" spans="1:7" hidden="1" x14ac:dyDescent="0.5">
      <c r="A105" t="s">
        <v>124</v>
      </c>
      <c r="B105">
        <v>3</v>
      </c>
      <c r="C105">
        <v>0</v>
      </c>
      <c r="D105" t="s">
        <v>116</v>
      </c>
      <c r="E105" t="str">
        <f t="shared" si="1"/>
        <v>YES</v>
      </c>
      <c r="G105">
        <v>3</v>
      </c>
    </row>
    <row r="106" spans="1:7" x14ac:dyDescent="0.5">
      <c r="A106" t="s">
        <v>112</v>
      </c>
      <c r="B106">
        <f>MAIN[[#This Row],[WH Qty]]</f>
        <v>3</v>
      </c>
      <c r="C106">
        <f>MAIN[[#This Row],[GP Qty]]</f>
        <v>0</v>
      </c>
      <c r="D106">
        <v>2</v>
      </c>
      <c r="E106" t="str">
        <f t="shared" si="1"/>
        <v>NO</v>
      </c>
      <c r="G106">
        <v>6</v>
      </c>
    </row>
    <row r="107" spans="1:7" x14ac:dyDescent="0.5">
      <c r="A107" t="s">
        <v>110</v>
      </c>
      <c r="B107">
        <f>MAIN[[#This Row],[WH Qty]]</f>
        <v>12</v>
      </c>
      <c r="C107">
        <f>MAIN[[#This Row],[GP Qty]]</f>
        <v>0</v>
      </c>
      <c r="D107">
        <v>2</v>
      </c>
      <c r="E107" t="str">
        <f t="shared" si="1"/>
        <v>NO</v>
      </c>
      <c r="G107">
        <v>8</v>
      </c>
    </row>
    <row r="108" spans="1:7" x14ac:dyDescent="0.5">
      <c r="A108" t="s">
        <v>113</v>
      </c>
      <c r="B108">
        <f>MAIN[[#This Row],[WH Qty]]</f>
        <v>49</v>
      </c>
      <c r="C108">
        <f>MAIN[[#This Row],[GP Qty]]</f>
        <v>0</v>
      </c>
      <c r="D108">
        <v>10</v>
      </c>
      <c r="E108" t="str">
        <f t="shared" si="1"/>
        <v>NO</v>
      </c>
      <c r="G108">
        <v>30</v>
      </c>
    </row>
    <row r="109" spans="1:7" x14ac:dyDescent="0.5">
      <c r="A109" t="s">
        <v>125</v>
      </c>
      <c r="B109">
        <f>MAIN[[#This Row],[WH Qty]]</f>
        <v>2</v>
      </c>
      <c r="C109">
        <f>MAIN[[#This Row],[GP Qty]]</f>
        <v>0</v>
      </c>
      <c r="D109">
        <v>2</v>
      </c>
      <c r="E109" t="str">
        <f t="shared" si="1"/>
        <v>YES</v>
      </c>
      <c r="G109">
        <v>6</v>
      </c>
    </row>
    <row r="110" spans="1:7" x14ac:dyDescent="0.5">
      <c r="A110">
        <f>SUBTOTAL(103,MAIN[Item])</f>
        <v>108</v>
      </c>
      <c r="E110" t="str">
        <f t="shared" si="1"/>
        <v>YES</v>
      </c>
    </row>
  </sheetData>
  <conditionalFormatting sqref="E1">
    <cfRule type="containsText" dxfId="2" priority="3" operator="containsText" text="YES">
      <formula>NOT(ISERROR(SEARCH("YES",E1)))</formula>
    </cfRule>
  </conditionalFormatting>
  <conditionalFormatting sqref="E1:E1048576">
    <cfRule type="containsText" dxfId="1" priority="1" operator="containsText" text="NO">
      <formula>NOT(ISERROR(SEARCH("NO",E1)))</formula>
    </cfRule>
    <cfRule type="containsText" dxfId="0" priority="2" operator="containsText" text="YES">
      <formula>NOT(ISERROR(SEARCH("YES",E1)))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SF EZ Balance</vt:lpstr>
      <vt:lpstr>Reorder Checker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Montalvo, Denilson Andres</dc:creator>
  <cp:lastModifiedBy>Denilson Montalvo</cp:lastModifiedBy>
  <cp:lastPrinted>2025-09-04T18:19:33Z</cp:lastPrinted>
  <dcterms:created xsi:type="dcterms:W3CDTF">2025-09-03T19:38:22Z</dcterms:created>
  <dcterms:modified xsi:type="dcterms:W3CDTF">2026-01-30T17:45:02Z</dcterms:modified>
</cp:coreProperties>
</file>